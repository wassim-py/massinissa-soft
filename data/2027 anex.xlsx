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HP\Desktop\RPR BON 2027\"/>
    </mc:Choice>
  </mc:AlternateContent>
  <xr:revisionPtr revIDLastSave="0" documentId="13_ncr:1_{964E4B6C-27F2-41D7-B209-B5D490ABA0CA}" xr6:coauthVersionLast="47" xr6:coauthVersionMax="47" xr10:uidLastSave="{00000000-0000-0000-0000-000000000000}"/>
  <bookViews>
    <workbookView xWindow="-120" yWindow="-120" windowWidth="29040" windowHeight="15720" activeTab="10" xr2:uid="{00000000-000D-0000-FFFF-FFFF00000000}"/>
  </bookViews>
  <sheets>
    <sheet name="bac" sheetId="1" r:id="rId1"/>
    <sheet name="n°bon" sheetId="2" r:id="rId2"/>
    <sheet name="4am" sheetId="4" r:id="rId3"/>
    <sheet name="3AM" sheetId="11" r:id="rId4"/>
    <sheet name="2AM" sheetId="12" r:id="rId5"/>
    <sheet name="5ap" sheetId="3" r:id="rId6"/>
    <sheet name="3AP" sheetId="13" r:id="rId7"/>
    <sheet name="دورات 4و5ابتدائي" sheetId="6" r:id="rId8"/>
    <sheet name="4ap" sheetId="14" r:id="rId9"/>
    <sheet name="FORMATION SEP " sheetId="5" r:id="rId10"/>
    <sheet name="ecole " sheetId="8" r:id="rId11"/>
    <sheet name="amphi" sheetId="9" r:id="rId12"/>
    <sheet name="R7" sheetId="1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0" i="5" l="1"/>
  <c r="E40" i="5" l="1"/>
  <c r="T40" i="5"/>
  <c r="U40" i="5"/>
  <c r="S40" i="5"/>
  <c r="L40" i="5"/>
  <c r="J40" i="5"/>
  <c r="F40" i="5"/>
  <c r="D40" i="5"/>
</calcChain>
</file>

<file path=xl/sharedStrings.xml><?xml version="1.0" encoding="utf-8"?>
<sst xmlns="http://schemas.openxmlformats.org/spreadsheetml/2006/main" count="1530" uniqueCount="665">
  <si>
    <t>الاسم واللقب</t>
  </si>
  <si>
    <t>رقم الهاتف</t>
  </si>
  <si>
    <t>حقوق التسجيل</t>
  </si>
  <si>
    <t>الشهر 01</t>
  </si>
  <si>
    <t>الشهر 02</t>
  </si>
  <si>
    <t>الشهر 03</t>
  </si>
  <si>
    <t>الشهر 04</t>
  </si>
  <si>
    <t>الشهر 05</t>
  </si>
  <si>
    <t>الشهر 06</t>
  </si>
  <si>
    <t>الشهر 07</t>
  </si>
  <si>
    <t>الشهر 08</t>
  </si>
  <si>
    <t>الشهر 09</t>
  </si>
  <si>
    <t>الشهر 10</t>
  </si>
  <si>
    <t>الشهر 11</t>
  </si>
  <si>
    <t>الشهر 12</t>
  </si>
  <si>
    <t>تركي محمد</t>
  </si>
  <si>
    <t>07 96 21 38 62</t>
  </si>
  <si>
    <t>BON 02/ecole(03/08/2026)</t>
  </si>
  <si>
    <t>بن مرخي دعاء</t>
  </si>
  <si>
    <t>05 61 91 95 99</t>
  </si>
  <si>
    <t>BON 01(03/08/2026)</t>
  </si>
  <si>
    <t>كحال /علوم</t>
  </si>
  <si>
    <t>ميرود رامي</t>
  </si>
  <si>
    <t>07 79 94 52 72</t>
  </si>
  <si>
    <t>فراجة هيام</t>
  </si>
  <si>
    <t>07 71 54 82 83</t>
  </si>
  <si>
    <t>BON 03(04/08/2026)</t>
  </si>
  <si>
    <t>محروق أحمد</t>
  </si>
  <si>
    <t>05 54 54 03 86</t>
  </si>
  <si>
    <t>BON 04(04/08/2026)</t>
  </si>
  <si>
    <t>بولكحل لجين</t>
  </si>
  <si>
    <t>07 97 45 60 34</t>
  </si>
  <si>
    <t>BON 05(05/08/2026)</t>
  </si>
  <si>
    <t>قلقول  /محاسبة</t>
  </si>
  <si>
    <t>بوعليطة مصعب</t>
  </si>
  <si>
    <t>BON 06(06/08/2026)</t>
  </si>
  <si>
    <t xml:space="preserve"> 05 63 38 41 13 / 05 42 43 08 32</t>
  </si>
  <si>
    <t>مصباح رائد</t>
  </si>
  <si>
    <t>07 99 68 90 05</t>
  </si>
  <si>
    <t>هدواس لجين</t>
  </si>
  <si>
    <t>BON 10(06/08/2026)</t>
  </si>
  <si>
    <t>06 66 99 77 72 / 06 76 98 70 37</t>
  </si>
  <si>
    <t>بوبيدي لينا</t>
  </si>
  <si>
    <t>05 57 87 49 00</t>
  </si>
  <si>
    <t>BON 11(09/08/2026)</t>
  </si>
  <si>
    <t>بهناس ميار</t>
  </si>
  <si>
    <t>07 83 32 14 80</t>
  </si>
  <si>
    <t>BON 13(11/08/2026)</t>
  </si>
  <si>
    <t>رقراج آية</t>
  </si>
  <si>
    <t>05 59 46 64 29</t>
  </si>
  <si>
    <t>BON 14(11/08/2026)</t>
  </si>
  <si>
    <t>اريدير يوسف</t>
  </si>
  <si>
    <t>BON 15(12/08/2026)</t>
  </si>
  <si>
    <t>05 50 04 13 80/07 95 78 17 51</t>
  </si>
  <si>
    <t>بروة يحي جاد</t>
  </si>
  <si>
    <t>06 71 65 02 93</t>
  </si>
  <si>
    <t>BON 16(12/08/2026)</t>
  </si>
  <si>
    <t>عيساوي اسراء</t>
  </si>
  <si>
    <t>BON11(16/08/2026)</t>
  </si>
  <si>
    <t>05 60 93 58 55</t>
  </si>
  <si>
    <t>3as</t>
  </si>
  <si>
    <t>نموشي /رياضيات</t>
  </si>
  <si>
    <t>نموشي /عربية</t>
  </si>
  <si>
    <t>بن عزوز /فرنسية</t>
  </si>
  <si>
    <t>مروة /انجليزية</t>
  </si>
  <si>
    <t>الكنز لجين</t>
  </si>
  <si>
    <t>06 60 51 31 68</t>
  </si>
  <si>
    <t>BON 01(17/08/2026)</t>
  </si>
  <si>
    <t>5ap</t>
  </si>
  <si>
    <t>عميرش /رياضيات فوج 01</t>
  </si>
  <si>
    <t>بوبكر مهدي</t>
  </si>
  <si>
    <t>06 55 90 67 41</t>
  </si>
  <si>
    <t>BON 01(16/08/2026)</t>
  </si>
  <si>
    <t>عميرش /رياضيات فوج 02</t>
  </si>
  <si>
    <t>بوخزر/انجليزية فوج 01</t>
  </si>
  <si>
    <t>بوخزر/انجليزية فوج 02</t>
  </si>
  <si>
    <t>لعروسي/فرنسية فوج 01</t>
  </si>
  <si>
    <t>4am</t>
  </si>
  <si>
    <t>مطبوعات ف01</t>
  </si>
  <si>
    <t>مطبوعات ف02</t>
  </si>
  <si>
    <t>مطبوعات ف03</t>
  </si>
  <si>
    <t>نعيجة جيهان</t>
  </si>
  <si>
    <t>06 59 23 22 15/06 61 15 74 25</t>
  </si>
  <si>
    <t>BON 26/amphi(04/08/2026)</t>
  </si>
  <si>
    <t>بوثلجة رحاب</t>
  </si>
  <si>
    <t>06 61 31 56 33</t>
  </si>
  <si>
    <t>عروم سامي</t>
  </si>
  <si>
    <t>06 57 63 42 15 / 07 71 24 54 20</t>
  </si>
  <si>
    <t>عويدي سرين هديل</t>
  </si>
  <si>
    <t>07 94 92 17 57</t>
  </si>
  <si>
    <t>بلخيري مروة + صفاء</t>
  </si>
  <si>
    <t>06 71 62 70 52</t>
  </si>
  <si>
    <t>BON 45/ecole(11/08/2026)</t>
  </si>
  <si>
    <t>BON 71/ecole(20/08/2026)</t>
  </si>
  <si>
    <t>BON 21/ecole(04/08/2026)</t>
  </si>
  <si>
    <t>BON 60/ecole(17/08/2026)</t>
  </si>
  <si>
    <t>BON 13(24/08/2026)</t>
  </si>
  <si>
    <t>حرز الله عبد المجيب</t>
  </si>
  <si>
    <t>05 40 79 21 49</t>
  </si>
  <si>
    <t>BON 14(24/08/2026)</t>
  </si>
  <si>
    <t>BON 15(25/08/2026)</t>
  </si>
  <si>
    <t>بحشاشي عبد الرحمان</t>
  </si>
  <si>
    <t>07 70 38 36 02</t>
  </si>
  <si>
    <t>جباسي محمد يونس</t>
  </si>
  <si>
    <t>bon +48 amphi(25/08/2026)</t>
  </si>
  <si>
    <t>فقير زكرياء</t>
  </si>
  <si>
    <t>06 61 78 64 78</t>
  </si>
  <si>
    <t>BON 16(25/08/2026)</t>
  </si>
  <si>
    <t>دولة أريج</t>
  </si>
  <si>
    <t>BON 18(26/08/2026)</t>
  </si>
  <si>
    <t>العرباوي ايناس</t>
  </si>
  <si>
    <t>BON 19(26/08/2026)</t>
  </si>
  <si>
    <t>موسلي أمياس</t>
  </si>
  <si>
    <t>06 68 00 34 04</t>
  </si>
  <si>
    <t>BON 20(27/08/2026)</t>
  </si>
  <si>
    <t>3000+7000</t>
  </si>
  <si>
    <t>BON79/ecole+21(23+28/08/2026)</t>
  </si>
  <si>
    <t>BON 21(28/08/2026)</t>
  </si>
  <si>
    <t>3000+12000</t>
  </si>
  <si>
    <t>BON 21/ecole+22+28(04/08/2026)</t>
  </si>
  <si>
    <t>بلمرابط معتصم بالله</t>
  </si>
  <si>
    <t>BON25 (31/08/2026)</t>
  </si>
  <si>
    <t>معمري رتاج</t>
  </si>
  <si>
    <t>0654 80 71 29 / 0674 80 81 98</t>
  </si>
  <si>
    <t>بن داود سيرين</t>
  </si>
  <si>
    <t>0773 18 64 74</t>
  </si>
  <si>
    <t>BON+ECL 48(29/08/2026)</t>
  </si>
  <si>
    <t xml:space="preserve"> هندسة ميكانيك /بوزيد</t>
  </si>
  <si>
    <t xml:space="preserve">بن مهريز /أدبي /انجليزية </t>
  </si>
  <si>
    <t>0668 54 68 81</t>
  </si>
  <si>
    <t>BON 26(02/09/2026)</t>
  </si>
  <si>
    <t>وجدان /علمي/ انجليزية</t>
  </si>
  <si>
    <t>بن شعبان محمد امين</t>
  </si>
  <si>
    <t>BON 27(03/09/2026)</t>
  </si>
  <si>
    <t>BON 29(03/09/2026)</t>
  </si>
  <si>
    <t>حموي /فوج خاص/ فيزياء/علمي و تقني رياضي</t>
  </si>
  <si>
    <t>BON 30(04/09/2026)</t>
  </si>
  <si>
    <t>bon31(04/09/2026)</t>
  </si>
  <si>
    <t>BON32(04/09/2026)</t>
  </si>
  <si>
    <t>BON33 (04/09/2026)</t>
  </si>
  <si>
    <t>عناني عبد الرؤوف</t>
  </si>
  <si>
    <t>BON34 (04/09/2026)</t>
  </si>
  <si>
    <t>bon 35 (04/09/2026)</t>
  </si>
  <si>
    <t>بوصلان معاد</t>
  </si>
  <si>
    <t>BON36 (04/09/2026)</t>
  </si>
  <si>
    <t>نكاع فرح</t>
  </si>
  <si>
    <t>BON 37 (04/09/2026)</t>
  </si>
  <si>
    <t>BON38 (04/09/2026)</t>
  </si>
  <si>
    <t>BON39 (04/09/2026)</t>
  </si>
  <si>
    <t>BON 02+38(03/08/2026)+(04/09/2026)</t>
  </si>
  <si>
    <t>1000+1500</t>
  </si>
  <si>
    <t>BON 07+33(06/08/2026)+(047/09/2026)</t>
  </si>
  <si>
    <t>بن مشير فؤاد</t>
  </si>
  <si>
    <t xml:space="preserve">مشيروف سيرين نورهان </t>
  </si>
  <si>
    <t>BON40(04/09/2026)</t>
  </si>
  <si>
    <t>BON 44(05/09/2026)</t>
  </si>
  <si>
    <t>NOM</t>
  </si>
  <si>
    <t>FI</t>
  </si>
  <si>
    <t>livres</t>
  </si>
  <si>
    <t>F NV</t>
  </si>
  <si>
    <t>المجموع</t>
  </si>
  <si>
    <t>BON42(05/09/2026)</t>
  </si>
  <si>
    <t>BON43 (05/09/2026)</t>
  </si>
  <si>
    <t>فردي رياضيات ش/تسيير</t>
  </si>
  <si>
    <t>معيدوش أمين</t>
  </si>
  <si>
    <t>06 67 09 15 80</t>
  </si>
  <si>
    <t>ثعبان انس عبدالله</t>
  </si>
  <si>
    <t>دزيري يحي</t>
  </si>
  <si>
    <t>0656 49 84 95</t>
  </si>
  <si>
    <t xml:space="preserve">بهاز كوثر </t>
  </si>
  <si>
    <t>06 64930043</t>
  </si>
  <si>
    <t>BON45 (07/09/2026)</t>
  </si>
  <si>
    <t>قسوم /اسبانية/ادبي</t>
  </si>
  <si>
    <t>ميري نورهان</t>
  </si>
  <si>
    <t>علام رتاج</t>
  </si>
  <si>
    <t>BON46 (07/09/2026)</t>
  </si>
  <si>
    <t>مهدي شريف محمد</t>
  </si>
  <si>
    <t>05 60086057</t>
  </si>
  <si>
    <t>BON47(07/09/2026)</t>
  </si>
  <si>
    <t>BON48(07/09/2026)</t>
  </si>
  <si>
    <t>مشهراوي ياسين</t>
  </si>
  <si>
    <t>BON49(07/09/2026)</t>
  </si>
  <si>
    <t>BON50(07/09/2026)</t>
  </si>
  <si>
    <t>عكاشة عبد المؤمن</t>
  </si>
  <si>
    <t>BON51(07/09/2026)</t>
  </si>
  <si>
    <t>versment 2000</t>
  </si>
  <si>
    <t>نموشي /عربية+رياضيات  5AP</t>
  </si>
  <si>
    <t>بومحراث جينان</t>
  </si>
  <si>
    <t>05 50969260</t>
  </si>
  <si>
    <t>bon01(05/09/2026)</t>
  </si>
  <si>
    <t xml:space="preserve">     prix</t>
  </si>
  <si>
    <t>دورة مراجعة</t>
  </si>
  <si>
    <t xml:space="preserve">بو الحوت امجد </t>
  </si>
  <si>
    <t>06 56251240</t>
  </si>
  <si>
    <t>BON02(07/09/2026)</t>
  </si>
  <si>
    <t xml:space="preserve">يزيد خليل </t>
  </si>
  <si>
    <t>07 82863088</t>
  </si>
  <si>
    <t>BON03(07/09/2026)</t>
  </si>
  <si>
    <t>بوضرسة ساجد</t>
  </si>
  <si>
    <t>BON04(08/09/2026)</t>
  </si>
  <si>
    <t>بلزرت يوسف</t>
  </si>
  <si>
    <t>06 96522648</t>
  </si>
  <si>
    <t>BON05(08/09/2026)</t>
  </si>
  <si>
    <t>غولة ميراس</t>
  </si>
  <si>
    <t>07 99776980</t>
  </si>
  <si>
    <t>BON06(08/09/2026)</t>
  </si>
  <si>
    <t>غربي جنى</t>
  </si>
  <si>
    <t>05 40749932</t>
  </si>
  <si>
    <t>BON07(08/09/2026)</t>
  </si>
  <si>
    <t>مشارة يوسف</t>
  </si>
  <si>
    <t>BON09(08/09/2026)</t>
  </si>
  <si>
    <t>05 58497503</t>
  </si>
  <si>
    <t>نموشي /عربية+رياضيات  4AP</t>
  </si>
  <si>
    <t>حركات تيم</t>
  </si>
  <si>
    <t>05 51915327</t>
  </si>
  <si>
    <t>BON10(08/09/2026)</t>
  </si>
  <si>
    <t>حيمد امير</t>
  </si>
  <si>
    <t>BON 52(07/09/2026)</t>
  </si>
  <si>
    <t>بوبكر عبد الرحمان</t>
  </si>
  <si>
    <t>BON53(07/09/2026)</t>
  </si>
  <si>
    <t>بوحلاسة مجيب الرحمان</t>
  </si>
  <si>
    <t>BON54 (07/09/2026)</t>
  </si>
  <si>
    <t>كشتولي محمد أرسلان</t>
  </si>
  <si>
    <t>06 71757393</t>
  </si>
  <si>
    <t>BON55(09/09/2026)</t>
  </si>
  <si>
    <t>6حصص 3000</t>
  </si>
  <si>
    <t>BON56(09/09/2026)</t>
  </si>
  <si>
    <t xml:space="preserve">طيار فيزياء </t>
  </si>
  <si>
    <t>مالو/رياضيات</t>
  </si>
  <si>
    <t>دحدوح /عربية</t>
  </si>
  <si>
    <t>الاسم و اللقب</t>
  </si>
  <si>
    <t>حمادي سجود</t>
  </si>
  <si>
    <t>قلي محمد</t>
  </si>
  <si>
    <t>06 60704265</t>
  </si>
  <si>
    <t>BON12(10/09/2026)</t>
  </si>
  <si>
    <t>3حصص 900</t>
  </si>
  <si>
    <t>BON13 (10/09/2026)</t>
  </si>
  <si>
    <t>صنهاجي فادي</t>
  </si>
  <si>
    <t>06 60077300</t>
  </si>
  <si>
    <t>BON03(02/09/2026)</t>
  </si>
  <si>
    <t>ديلمي عماد الدين</t>
  </si>
  <si>
    <t>BON04(07/09/2026)</t>
  </si>
  <si>
    <t xml:space="preserve">يزيد أسامة </t>
  </si>
  <si>
    <t>BON05(07/09/2026)</t>
  </si>
  <si>
    <t>يزيد أسامة</t>
  </si>
  <si>
    <t xml:space="preserve">لعلوي جاد </t>
  </si>
  <si>
    <t>06 61937467</t>
  </si>
  <si>
    <t>BON06 (08/09/2026)</t>
  </si>
  <si>
    <t>بن قلي اميرة لجين</t>
  </si>
  <si>
    <t>07 73545672</t>
  </si>
  <si>
    <t>BON08 (09/09/2026)</t>
  </si>
  <si>
    <t>حواس ريماس</t>
  </si>
  <si>
    <t>06 60378850</t>
  </si>
  <si>
    <t>BON09(10/09/2026)</t>
  </si>
  <si>
    <t>BON10 (10/09/2026)</t>
  </si>
  <si>
    <t>دباح لجين</t>
  </si>
  <si>
    <t>06 56556336</t>
  </si>
  <si>
    <t>BON11 (10/09/2026)</t>
  </si>
  <si>
    <t>حركات سراج</t>
  </si>
  <si>
    <t>BON02 (23/08/2026)</t>
  </si>
  <si>
    <t>BON04 (07/09/2026)</t>
  </si>
  <si>
    <t>بليلي ميار</t>
  </si>
  <si>
    <t>06 98461412</t>
  </si>
  <si>
    <t>BON59 (10/09/2026)</t>
  </si>
  <si>
    <t>BON15(06/09/2026)</t>
  </si>
  <si>
    <t>قاسمي رنيم</t>
  </si>
  <si>
    <t>06 56294981</t>
  </si>
  <si>
    <t>BON60 (10/09/2026)</t>
  </si>
  <si>
    <t>حمايزية فراس</t>
  </si>
  <si>
    <t>BON61 (11/08/2026)</t>
  </si>
  <si>
    <t xml:space="preserve">يخلف  اينجي </t>
  </si>
  <si>
    <t>05 41530702</t>
  </si>
  <si>
    <t>BON62 (11/09/2026)</t>
  </si>
  <si>
    <t>BON ECL104(31/08/2026)+BON63 (12/09/2026)</t>
  </si>
  <si>
    <t>BON 64(12/09/2026)</t>
  </si>
  <si>
    <t>BON 65(12/09/2026)</t>
  </si>
  <si>
    <t>هاشمي محمد</t>
  </si>
  <si>
    <t>BON14 (12/09/2026)</t>
  </si>
  <si>
    <t>BON11(10/09/2026)</t>
  </si>
  <si>
    <t>مادة 4 حقوق تسجيل مجانية</t>
  </si>
  <si>
    <t>شلبي عبد الحميد</t>
  </si>
  <si>
    <t>BON13 (12/09/2026)</t>
  </si>
  <si>
    <t>05 58560055/05 52684847</t>
  </si>
  <si>
    <t>عرافة رشا سعيدة</t>
  </si>
  <si>
    <t>05 59323725</t>
  </si>
  <si>
    <t>عرافةرشا سعيدة</t>
  </si>
  <si>
    <t xml:space="preserve">بلحي ريماس  </t>
  </si>
  <si>
    <t>BON15 (12/09/2026)</t>
  </si>
  <si>
    <t>تواتي معاد</t>
  </si>
  <si>
    <t>BON16 (12/09/2026)</t>
  </si>
  <si>
    <t>بركان بهاء الدين</t>
  </si>
  <si>
    <t>telephone</t>
  </si>
  <si>
    <t>05 56702236</t>
  </si>
  <si>
    <t>BON01 (31/08/2026)</t>
  </si>
  <si>
    <t xml:space="preserve">بيدي احمد </t>
  </si>
  <si>
    <t>06 57163791</t>
  </si>
  <si>
    <t>BON02 (31/08/2026)</t>
  </si>
  <si>
    <t>جاب الله ايمان</t>
  </si>
  <si>
    <t>07 77828115</t>
  </si>
  <si>
    <t>BON03 (03/09/2026)</t>
  </si>
  <si>
    <t>العزوني محمد وسيم</t>
  </si>
  <si>
    <t>BON04 (03/09/2026)</t>
  </si>
  <si>
    <t>رحيوي ياسمين</t>
  </si>
  <si>
    <t>BON05 (05/09/2026)</t>
  </si>
  <si>
    <t>نور الايمان رحماني</t>
  </si>
  <si>
    <t>BON06 (06/09/2026)</t>
  </si>
  <si>
    <t>معمري سيرين</t>
  </si>
  <si>
    <t>BON07 (06/09/2026)</t>
  </si>
  <si>
    <t xml:space="preserve">بوعكاز فراس </t>
  </si>
  <si>
    <t>07 83431174</t>
  </si>
  <si>
    <t>BON08 (06/09/2026)</t>
  </si>
  <si>
    <t>ماضي نور الدين</t>
  </si>
  <si>
    <t xml:space="preserve">07 79280364 </t>
  </si>
  <si>
    <t>BON09 (06/09/2026)</t>
  </si>
  <si>
    <t xml:space="preserve">عايب تقوى </t>
  </si>
  <si>
    <t>06 98 072304</t>
  </si>
  <si>
    <t>BON10 (06/09/2026)</t>
  </si>
  <si>
    <t xml:space="preserve">عايب ابتهال </t>
  </si>
  <si>
    <t>BON11 (06/09/2026)</t>
  </si>
  <si>
    <t xml:space="preserve">بوضرسة سلسبيل </t>
  </si>
  <si>
    <t>BON12 (06/09/2026)</t>
  </si>
  <si>
    <t>بن معاوية احمد</t>
  </si>
  <si>
    <t>07 94076024</t>
  </si>
  <si>
    <t>BON13 (06/09/2026)</t>
  </si>
  <si>
    <t xml:space="preserve">بن معاوية جنى </t>
  </si>
  <si>
    <t>BON14 (06/09/2026)</t>
  </si>
  <si>
    <t xml:space="preserve">سوفي يوسف </t>
  </si>
  <si>
    <t>06 62047194</t>
  </si>
  <si>
    <t>باحيطة رزان</t>
  </si>
  <si>
    <t>07 98941829</t>
  </si>
  <si>
    <t>BON16 (06/09/2026)</t>
  </si>
  <si>
    <t xml:space="preserve">فيلالي عبد المولى </t>
  </si>
  <si>
    <t>07 95585088</t>
  </si>
  <si>
    <t>BON17 (06/09/2026)</t>
  </si>
  <si>
    <t xml:space="preserve">فيلالي بلقيس </t>
  </si>
  <si>
    <t>BON18 (06/09/2026)</t>
  </si>
  <si>
    <t>جاب الله ادم</t>
  </si>
  <si>
    <t>BON19 (08/09/2026)</t>
  </si>
  <si>
    <t>بولمدايس اسيل</t>
  </si>
  <si>
    <t>06 57555404</t>
  </si>
  <si>
    <t>BON20 (08/09/2026)</t>
  </si>
  <si>
    <t xml:space="preserve">بن عثمان سراج </t>
  </si>
  <si>
    <t>05 42249678</t>
  </si>
  <si>
    <t>BON21 (08/09/2026)</t>
  </si>
  <si>
    <t>مطرفي اروى</t>
  </si>
  <si>
    <t>07 70926595</t>
  </si>
  <si>
    <t>BON22 (08/09/2026)</t>
  </si>
  <si>
    <t>قريش ميراس</t>
  </si>
  <si>
    <t>BON23 (08/09/2026)</t>
  </si>
  <si>
    <t>بو الودنين نظال</t>
  </si>
  <si>
    <t>بو الودنين محمد</t>
  </si>
  <si>
    <t>BON24 (10/09/2026)</t>
  </si>
  <si>
    <t>هاشمي فرح ريتاج</t>
  </si>
  <si>
    <t>BON25 (12/09/2026)</t>
  </si>
  <si>
    <t>05 52354958</t>
  </si>
  <si>
    <t>07 92034086</t>
  </si>
  <si>
    <t>07 81570121</t>
  </si>
  <si>
    <t>05 63148908</t>
  </si>
  <si>
    <t>06 98072304</t>
  </si>
  <si>
    <t>PROJECT NIV 01/   SEP -CEM</t>
  </si>
  <si>
    <t>intro NIV 01/   SEP-ADULTE</t>
  </si>
  <si>
    <t>let's GO NIV 01/   SEP-primaire</t>
  </si>
  <si>
    <t>05 64821321</t>
  </si>
  <si>
    <t>07 92777532</t>
  </si>
  <si>
    <t>07 97460083/06 70637797</t>
  </si>
  <si>
    <t>05 60156099</t>
  </si>
  <si>
    <t>07 92924416</t>
  </si>
  <si>
    <t>تبيب ملاك الرحمان</t>
  </si>
  <si>
    <t>06 70 10 46 18</t>
  </si>
  <si>
    <t>BON59/ECOLE (03/09/2026)</t>
  </si>
  <si>
    <t>ثعبان معاد</t>
  </si>
  <si>
    <t>05 56085670</t>
  </si>
  <si>
    <t>BON15 (13/09/2026)</t>
  </si>
  <si>
    <t>حصص 2 /600</t>
  </si>
  <si>
    <t>حقوق الشهر</t>
  </si>
  <si>
    <t>المستوى</t>
  </si>
  <si>
    <t>الأستاذ</t>
  </si>
  <si>
    <t>ملاحظة</t>
  </si>
  <si>
    <t>4AM</t>
  </si>
  <si>
    <t>3AS</t>
  </si>
  <si>
    <t>بن خير الدين ميس</t>
  </si>
  <si>
    <t>BON07 (09/09/2026)</t>
  </si>
  <si>
    <t>بن حراث</t>
  </si>
  <si>
    <t>05 50302803</t>
  </si>
  <si>
    <t>عزوزي بيلسان</t>
  </si>
  <si>
    <t>05 50535356</t>
  </si>
  <si>
    <t>BON12 (11/09/2026)</t>
  </si>
  <si>
    <t>حكوم هداية</t>
  </si>
  <si>
    <t>07 70313832/06 97854472</t>
  </si>
  <si>
    <t>BON17 (13/09/2026)</t>
  </si>
  <si>
    <t>BON57 (09/09/2026)</t>
  </si>
  <si>
    <t>حموي G2</t>
  </si>
  <si>
    <t>07 70143426</t>
  </si>
  <si>
    <t>زغليش شكيب أرسلان</t>
  </si>
  <si>
    <t>زغيلش شكيب ارسلان</t>
  </si>
  <si>
    <t>BON58 (09/09/2026)</t>
  </si>
  <si>
    <t xml:space="preserve">زهراوي </t>
  </si>
  <si>
    <t xml:space="preserve">عبعوب ملاك </t>
  </si>
  <si>
    <t>BON66 (12/09/2026)</t>
  </si>
  <si>
    <t>la date</t>
  </si>
  <si>
    <t>totale</t>
  </si>
  <si>
    <t>fi</t>
  </si>
  <si>
    <t>obs</t>
  </si>
  <si>
    <t>fiha amphi 11000(fi 1000)+ecole 16250 (fi 1750)</t>
  </si>
  <si>
    <t>وافق هيام</t>
  </si>
  <si>
    <t>2AS</t>
  </si>
  <si>
    <t>فلسفة</t>
  </si>
  <si>
    <t xml:space="preserve">صويلح ضحى </t>
  </si>
  <si>
    <t>حموي G1</t>
  </si>
  <si>
    <t>BON01 anex-amphi (06/09/2026)</t>
  </si>
  <si>
    <t>BON02 anex-amphi (06/09/2026)</t>
  </si>
  <si>
    <t>بن عطا الله لجين</t>
  </si>
  <si>
    <t>BON03 anex-amphi (06/09/2026)</t>
  </si>
  <si>
    <t>زهراوي2g</t>
  </si>
  <si>
    <t>يزيد لينا</t>
  </si>
  <si>
    <t>2as</t>
  </si>
  <si>
    <t>BON05 anex-amphi (10/09/2026)</t>
  </si>
  <si>
    <t>BON04 anex-amphi (07/09/2026)</t>
  </si>
  <si>
    <t>BON03 anex-amphi (07/09/2026)</t>
  </si>
  <si>
    <t>زهراوي 1g</t>
  </si>
  <si>
    <t>3AL</t>
  </si>
  <si>
    <t>معزة رمزي</t>
  </si>
  <si>
    <t>BON06 anex-amphi (11/09/2026)</t>
  </si>
  <si>
    <t>حموي G3</t>
  </si>
  <si>
    <t xml:space="preserve">شوقي رغد </t>
  </si>
  <si>
    <t>BON07 anex-amphi (13/09/2026)</t>
  </si>
  <si>
    <t>حملاوي امير معتز</t>
  </si>
  <si>
    <t>BON08 anex-amphi (13/09/2026)</t>
  </si>
  <si>
    <t>لكنز تسنيم</t>
  </si>
  <si>
    <t>BON09 anex-amphi (13/09/2026)</t>
  </si>
  <si>
    <t>مشري لجين</t>
  </si>
  <si>
    <t>BON10 anex-amphi (13/09/2026)</t>
  </si>
  <si>
    <t xml:space="preserve">حموي </t>
  </si>
  <si>
    <t>لخضاري لجين</t>
  </si>
  <si>
    <t>BON11 anex-amphi (14/09/2026)</t>
  </si>
  <si>
    <t>05 51280705</t>
  </si>
  <si>
    <t xml:space="preserve">بن سويبط ملاك </t>
  </si>
  <si>
    <t>BON12 anex-amphi (14/09/2026)</t>
  </si>
  <si>
    <t>3 AS</t>
  </si>
  <si>
    <t>زهراوي 2G</t>
  </si>
  <si>
    <t>07 73649934</t>
  </si>
  <si>
    <t>بوعناقة سيرين</t>
  </si>
  <si>
    <t>BON13 anex-amphi (14/09/2026)</t>
  </si>
  <si>
    <t>بوشامة سارة</t>
  </si>
  <si>
    <t>BON14 anex-amphi (14/09/2026)</t>
  </si>
  <si>
    <t>زهراوي علمي</t>
  </si>
  <si>
    <t>بومحراث إسحاق</t>
  </si>
  <si>
    <t>BON15 anex-amphi (15/09/2026)</t>
  </si>
  <si>
    <t>عيون سهى ملاك</t>
  </si>
  <si>
    <t>BON16 anex-amphi (15/09/2026)</t>
  </si>
  <si>
    <t>سعيودي معاذ</t>
  </si>
  <si>
    <t>BON17 anex-amphi (15/09/2026)</t>
  </si>
  <si>
    <t xml:space="preserve">مصباح مرام </t>
  </si>
  <si>
    <t>BON18 anex-amphi (15/09/2026)</t>
  </si>
  <si>
    <t>BON19 anex-amphi (15/09/2026)</t>
  </si>
  <si>
    <t>بارش بشرى</t>
  </si>
  <si>
    <t>BON20 anex-amphi (15/09/2026)</t>
  </si>
  <si>
    <t>ماي هبة الرحمان</t>
  </si>
  <si>
    <t>BON18 (14/09/2026)</t>
  </si>
  <si>
    <t>07 70573864</t>
  </si>
  <si>
    <t>مخبي ريم</t>
  </si>
  <si>
    <t>كحال/  رياضي</t>
  </si>
  <si>
    <t>BON 58/amphi(09/08/2026)</t>
  </si>
  <si>
    <t>06 96 90 07 56</t>
  </si>
  <si>
    <t>07 92 59 06 45</t>
  </si>
  <si>
    <t>BON63 (12/09/2026)</t>
  </si>
  <si>
    <t xml:space="preserve">علاء الدين قيلهمية </t>
  </si>
  <si>
    <t>05 54541689</t>
  </si>
  <si>
    <t>BON19 (14/09/2026)</t>
  </si>
  <si>
    <t>05 54 54 16 89</t>
  </si>
  <si>
    <t xml:space="preserve">بركات صهيب </t>
  </si>
  <si>
    <t>مشطري امجد</t>
  </si>
  <si>
    <t>BON21 (14/09/2026)</t>
  </si>
  <si>
    <t>BON 20(14/09/2026)</t>
  </si>
  <si>
    <t>BON21(14/09/2026)</t>
  </si>
  <si>
    <t>حقوق مجانية</t>
  </si>
  <si>
    <t>دغي وليد</t>
  </si>
  <si>
    <t>BON22 (15/09/2026)</t>
  </si>
  <si>
    <t xml:space="preserve">دغي وليد </t>
  </si>
  <si>
    <t>BON22 (14/09/2026)</t>
  </si>
  <si>
    <t>BON23 (15/09/2026)</t>
  </si>
  <si>
    <t xml:space="preserve">دكوش  روان </t>
  </si>
  <si>
    <t xml:space="preserve">عاشوري نجية </t>
  </si>
  <si>
    <t>BON25 (15/09/2026)</t>
  </si>
  <si>
    <t xml:space="preserve">زيبوش عبد الغفور </t>
  </si>
  <si>
    <t>BON26(15/09/2026)</t>
  </si>
  <si>
    <t>سطحي مريم</t>
  </si>
  <si>
    <t>BON27(16/09/2026)</t>
  </si>
  <si>
    <t>BON27 (16/09/2026)</t>
  </si>
  <si>
    <t>شوقي رغد مفيد</t>
  </si>
  <si>
    <t>05 51 23 20 84</t>
  </si>
  <si>
    <t>BON67 (13/09/2026)</t>
  </si>
  <si>
    <t xml:space="preserve">حيدوسي الاء </t>
  </si>
  <si>
    <t>BON68 (14/09/2026)</t>
  </si>
  <si>
    <t>بن شفرة دعاء</t>
  </si>
  <si>
    <t xml:space="preserve"> 650/1 حصة</t>
  </si>
  <si>
    <t xml:space="preserve">بودان سلسبيل </t>
  </si>
  <si>
    <t>BON70 (14/09/2026)</t>
  </si>
  <si>
    <t>650/1حصة</t>
  </si>
  <si>
    <t>BON 71(14/09/2026)</t>
  </si>
  <si>
    <t>بن عيون ملاك</t>
  </si>
  <si>
    <t>BON72 (14/09/2026)</t>
  </si>
  <si>
    <t>500/حصة</t>
  </si>
  <si>
    <t xml:space="preserve">بوشامة سارة </t>
  </si>
  <si>
    <t>BON73(14/09/2026)</t>
  </si>
  <si>
    <t>خاوة لجين</t>
  </si>
  <si>
    <t>BON74 (15/09/2026)</t>
  </si>
  <si>
    <t>عزيون اياد</t>
  </si>
  <si>
    <t>BON75(15/09/2026)</t>
  </si>
  <si>
    <t>BON99ecl (31/08/2026)</t>
  </si>
  <si>
    <t>BON100ecl (31/08/2026)</t>
  </si>
  <si>
    <t>معافي ملاك</t>
  </si>
  <si>
    <t>BON76(15/09/2026)</t>
  </si>
  <si>
    <t>عبيد جمانة</t>
  </si>
  <si>
    <t>BON77(15/09/2026)</t>
  </si>
  <si>
    <t xml:space="preserve">نوي لجين </t>
  </si>
  <si>
    <t>BON78(15/09/2026)</t>
  </si>
  <si>
    <t>عربية /ميمون</t>
  </si>
  <si>
    <t>عزوزي أرسلان</t>
  </si>
  <si>
    <t>BON11(11/9/2026)</t>
  </si>
  <si>
    <t>بوخزر/ انجليزية</t>
  </si>
  <si>
    <t>لعروسي /فرنسية</t>
  </si>
  <si>
    <t>كنوة ميرال</t>
  </si>
  <si>
    <t>عيدوسي كريم</t>
  </si>
  <si>
    <t>BON03(17/9/2026)</t>
  </si>
  <si>
    <t>06 55310158/0698685053</t>
  </si>
  <si>
    <t>عاشوري نجية</t>
  </si>
  <si>
    <t>BON25(15/09/2026)</t>
  </si>
  <si>
    <t>فوج 1</t>
  </si>
  <si>
    <t xml:space="preserve">فوج1 </t>
  </si>
  <si>
    <t>فوج2</t>
  </si>
  <si>
    <t>بوعبلو</t>
  </si>
  <si>
    <t>1500RMB/12250AMPHI-FI1750/FI ECL 250</t>
  </si>
  <si>
    <t>عميرش /رياضيات</t>
  </si>
  <si>
    <t>دغي وائل</t>
  </si>
  <si>
    <t>BON01(15/09/2026)</t>
  </si>
  <si>
    <t>مجانية</t>
  </si>
  <si>
    <t>فرنسية/بن عزوز</t>
  </si>
  <si>
    <t>BON01515/09/2026)</t>
  </si>
  <si>
    <t xml:space="preserve">علاء الدين ديلهمية </t>
  </si>
  <si>
    <t xml:space="preserve">amphi </t>
  </si>
  <si>
    <t xml:space="preserve">زيبوش اشواق </t>
  </si>
  <si>
    <t>BON21 anex-amphi (15/09/2026)</t>
  </si>
  <si>
    <t xml:space="preserve">طراد مريم </t>
  </si>
  <si>
    <t>BON26anex-amphi (16/09/2026)</t>
  </si>
  <si>
    <t xml:space="preserve">مجميع سندس </t>
  </si>
  <si>
    <t>BON27anex-amphi (16/09/2026)</t>
  </si>
  <si>
    <t>زهراوي 1G</t>
  </si>
  <si>
    <t xml:space="preserve">ديابي محمد </t>
  </si>
  <si>
    <t>BON28anex-amphi (16/09/2026)</t>
  </si>
  <si>
    <t>0558789432-</t>
  </si>
  <si>
    <t xml:space="preserve">بن عويرة مقيم </t>
  </si>
  <si>
    <t>BON29anex-amphi (16/09/2026)</t>
  </si>
  <si>
    <t xml:space="preserve">فرنسية /كحال ادبي </t>
  </si>
  <si>
    <t>ecole</t>
  </si>
  <si>
    <t>BON10 (12/09/2026)</t>
  </si>
  <si>
    <t xml:space="preserve">فيزياء </t>
  </si>
  <si>
    <t>0558560055/</t>
  </si>
  <si>
    <t xml:space="preserve">تواتي معاد </t>
  </si>
  <si>
    <t>BON11 (12/09/2026)</t>
  </si>
  <si>
    <t xml:space="preserve">ريام بلقاضي </t>
  </si>
  <si>
    <t>BON12 (12/09/2026)</t>
  </si>
  <si>
    <t xml:space="preserve">لخضاري لجين </t>
  </si>
  <si>
    <t xml:space="preserve">عمير </t>
  </si>
  <si>
    <t>0782239551-</t>
  </si>
  <si>
    <t xml:space="preserve">ندير  </t>
  </si>
  <si>
    <t xml:space="preserve">بلعكروم ملاك </t>
  </si>
  <si>
    <t>BON14 (14/09/2026)</t>
  </si>
  <si>
    <t xml:space="preserve">عمير /علوم </t>
  </si>
  <si>
    <t>0554541534-0560221281-</t>
  </si>
  <si>
    <t xml:space="preserve">بوعناقة سيرين </t>
  </si>
  <si>
    <t>BON15 (14/09/2026)</t>
  </si>
  <si>
    <t xml:space="preserve">كحال علوم </t>
  </si>
  <si>
    <t>0795581400-</t>
  </si>
  <si>
    <t xml:space="preserve">ندير </t>
  </si>
  <si>
    <t>BON16 (14/09/2026)</t>
  </si>
  <si>
    <t xml:space="preserve">بن يحيى </t>
  </si>
  <si>
    <t xml:space="preserve">عربية </t>
  </si>
  <si>
    <t xml:space="preserve">4am </t>
  </si>
  <si>
    <t xml:space="preserve">بوفنش بلقيس </t>
  </si>
  <si>
    <t>BON17 (14/09/2026)</t>
  </si>
  <si>
    <t xml:space="preserve">دراجي </t>
  </si>
  <si>
    <t>0553446270-</t>
  </si>
  <si>
    <t xml:space="preserve">لعكاشي ياسمين </t>
  </si>
  <si>
    <t>BON19 (16/09/2026)</t>
  </si>
  <si>
    <t>BON18 (15/09/2026)</t>
  </si>
  <si>
    <t xml:space="preserve">كينوة ميرال </t>
  </si>
  <si>
    <t>BON20 (16/09/2026)</t>
  </si>
  <si>
    <t>3am</t>
  </si>
  <si>
    <t xml:space="preserve">حراث </t>
  </si>
  <si>
    <t>01فوج</t>
  </si>
  <si>
    <t xml:space="preserve">نايلي يحيى اسلام </t>
  </si>
  <si>
    <t>BON21(17/09/2026)</t>
  </si>
  <si>
    <t>bon 21( 17/09/2026)</t>
  </si>
  <si>
    <t>bon 29( 16/09/2026)</t>
  </si>
  <si>
    <t>bon 01( 16/09/2026)</t>
  </si>
  <si>
    <t xml:space="preserve">المجموع </t>
  </si>
  <si>
    <t>fiha ecole 3750 (fi 750)+amphi 15250 ( fi 1250)</t>
  </si>
  <si>
    <r>
      <t>شهر سبتمبر 1</t>
    </r>
    <r>
      <rPr>
        <sz val="14"/>
        <color theme="1"/>
        <rFont val="Calibri"/>
        <family val="2"/>
      </rPr>
      <t>←17</t>
    </r>
    <r>
      <rPr>
        <sz val="16.8"/>
        <color theme="1"/>
        <rFont val="Arial"/>
        <family val="2"/>
      </rPr>
      <t xml:space="preserve">  anex </t>
    </r>
    <r>
      <rPr>
        <sz val="16.8"/>
        <color theme="1"/>
        <rFont val="Calibri"/>
        <family val="2"/>
      </rPr>
      <t>→ECOLE</t>
    </r>
    <r>
      <rPr>
        <sz val="16.8"/>
        <color theme="1"/>
        <rFont val="Arial"/>
        <family val="2"/>
      </rPr>
      <t xml:space="preserve">  </t>
    </r>
  </si>
  <si>
    <t>fiha ecole 1750 (fi 250)+amphi 3250 ( fi 250)</t>
  </si>
  <si>
    <r>
      <t>شهر سبتمبر 1</t>
    </r>
    <r>
      <rPr>
        <sz val="14"/>
        <color theme="1"/>
        <rFont val="Calibri"/>
        <family val="2"/>
      </rPr>
      <t>←16</t>
    </r>
    <r>
      <rPr>
        <sz val="16.8"/>
        <color theme="1"/>
        <rFont val="Arial"/>
        <family val="2"/>
      </rPr>
      <t xml:space="preserve">  anex </t>
    </r>
    <r>
      <rPr>
        <sz val="16.8"/>
        <color theme="1"/>
        <rFont val="Calibri"/>
        <family val="2"/>
      </rPr>
      <t>→amphi</t>
    </r>
    <r>
      <rPr>
        <sz val="16.8"/>
        <color theme="1"/>
        <rFont val="Arial"/>
        <family val="2"/>
      </rPr>
      <t xml:space="preserve">  </t>
    </r>
  </si>
  <si>
    <t>BON 02(17/09/2026)</t>
  </si>
  <si>
    <t>BON 02(07/09/2026)</t>
  </si>
  <si>
    <t>يزيد خليل</t>
  </si>
  <si>
    <t>بومحراث جينان مارية</t>
  </si>
  <si>
    <t>BON 04(15/09/2026)</t>
  </si>
  <si>
    <t xml:space="preserve">بلزرق يوسف </t>
  </si>
  <si>
    <t>BON 05(15/09/2026)</t>
  </si>
  <si>
    <t>بوالحوت امجد</t>
  </si>
  <si>
    <t>BON 06(16/09/2026)</t>
  </si>
  <si>
    <t>بوالقرع ميلسا</t>
  </si>
  <si>
    <t>BON 07(18/09/2026)</t>
  </si>
  <si>
    <t>07 70340943/07 74717459</t>
  </si>
  <si>
    <t>BON 08(18/09/2026)</t>
  </si>
  <si>
    <t>BON 09(18/09/2026)</t>
  </si>
  <si>
    <t>BON 10(18/08/2026)</t>
  </si>
  <si>
    <t>BON 10(18/09/2026)</t>
  </si>
  <si>
    <t xml:space="preserve"> مجانية 250</t>
  </si>
  <si>
    <t>BON11(18/09/2026)</t>
  </si>
  <si>
    <t>BON 11(18/09/2026)</t>
  </si>
  <si>
    <t>BON 12(18/09/2026)</t>
  </si>
  <si>
    <t>معمري ميسم</t>
  </si>
  <si>
    <t>BON13(18/09/2026)</t>
  </si>
  <si>
    <t>BON 13(18/09/2026)</t>
  </si>
  <si>
    <t>زغدود مبارك طهى</t>
  </si>
  <si>
    <t>06 70187705/06 58614129</t>
  </si>
  <si>
    <t>BON14(18/09/2026)</t>
  </si>
  <si>
    <t>BON 14(18/09/2026)</t>
  </si>
  <si>
    <t>بوتمرة نهال سيرين</t>
  </si>
  <si>
    <t>BON01amphi(12/09/2026)</t>
  </si>
  <si>
    <t>06 56351097</t>
  </si>
  <si>
    <t>06 71757393/07 70740964</t>
  </si>
  <si>
    <t xml:space="preserve"> </t>
  </si>
  <si>
    <t>حيمد أمير</t>
  </si>
  <si>
    <t>BON 52/3as(07/09/2026)</t>
  </si>
  <si>
    <t>BON 53/3as(07/09/2026)</t>
  </si>
  <si>
    <t>BON 54/3as(07/09/2026)</t>
  </si>
  <si>
    <t>بغريش رفيدة</t>
  </si>
  <si>
    <t>BON79 (18/09/2026)</t>
  </si>
  <si>
    <t>07 82 74 77 12/06 60 76 07 21</t>
  </si>
  <si>
    <t>غربي قطر الندى</t>
  </si>
  <si>
    <t>BON80 (19/09/2026)</t>
  </si>
  <si>
    <t>بوعروج لؤي+محمد</t>
  </si>
  <si>
    <t>BON81 (19/09/2026)</t>
  </si>
  <si>
    <t>BON 117/ecole(02/09/2026)</t>
  </si>
  <si>
    <t>BON 121/ecole(03/09/2026)</t>
  </si>
  <si>
    <t>bon 81( 19/09/2026)</t>
  </si>
  <si>
    <t>BON 69/ecole(19/08/2026)</t>
  </si>
  <si>
    <t>بوعبد الله سرين</t>
  </si>
  <si>
    <t>BON01/ecole (10/09/2026)</t>
  </si>
  <si>
    <t>لكنز لجين</t>
  </si>
  <si>
    <t>BON16(13/09/2026)</t>
  </si>
  <si>
    <t>دورات  ابتدائي</t>
  </si>
  <si>
    <t>bon 16( 13/09/2026)</t>
  </si>
  <si>
    <t>07 72 28 01 56/ 07 97 07 06 61</t>
  </si>
  <si>
    <t>06 55 31 01 58</t>
  </si>
  <si>
    <t>bon 03( 17/09/2026)</t>
  </si>
  <si>
    <t>BON21(18/09/2026)</t>
  </si>
  <si>
    <t>bon 21( 18/09/2026)</t>
  </si>
  <si>
    <t>زردازي عبد الودود</t>
  </si>
  <si>
    <t>BON 01(19/09/2026)</t>
  </si>
  <si>
    <t>4ap</t>
  </si>
  <si>
    <t>bon 01( 19/09/2026)</t>
  </si>
  <si>
    <t>3ap</t>
  </si>
  <si>
    <t>bon 01( 15/09/2026)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</si>
</sst>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 Light"/>
      <family val="1"/>
      <scheme val="maj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sz val="2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 Light"/>
      <family val="1"/>
      <scheme val="major"/>
    </font>
    <font>
      <sz val="11"/>
      <color theme="1"/>
      <name val="Calibri Light"/>
      <family val="1"/>
      <scheme val="major"/>
    </font>
    <font>
      <sz val="1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</font>
    <font>
      <sz val="16.8"/>
      <color theme="1"/>
      <name val="Arial"/>
      <family val="2"/>
    </font>
    <font>
      <sz val="16.8"/>
      <color theme="1"/>
      <name val="Calibri"/>
      <family val="2"/>
    </font>
    <font>
      <b/>
      <sz val="14"/>
      <color theme="1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b/>
      <i/>
      <sz val="20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6">
    <xf numFmtId="0" fontId="0" fillId="0" borderId="0" xfId="0"/>
    <xf numFmtId="0" fontId="2" fillId="0" borderId="7" xfId="0" applyFont="1" applyBorder="1"/>
    <xf numFmtId="0" fontId="0" fillId="0" borderId="7" xfId="0" applyBorder="1" applyAlignment="1">
      <alignment horizontal="center" vertical="center"/>
    </xf>
    <xf numFmtId="0" fontId="0" fillId="0" borderId="7" xfId="0" applyBorder="1"/>
    <xf numFmtId="0" fontId="3" fillId="0" borderId="7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 textRotation="180"/>
    </xf>
    <xf numFmtId="0" fontId="0" fillId="0" borderId="1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0" fillId="4" borderId="7" xfId="0" applyFill="1" applyBorder="1"/>
    <xf numFmtId="0" fontId="2" fillId="0" borderId="7" xfId="0" applyFont="1" applyBorder="1" applyAlignment="1">
      <alignment horizontal="center"/>
    </xf>
    <xf numFmtId="0" fontId="2" fillId="8" borderId="7" xfId="0" applyFon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2" fillId="5" borderId="7" xfId="0" applyFont="1" applyFill="1" applyBorder="1"/>
    <xf numFmtId="0" fontId="2" fillId="7" borderId="7" xfId="0" applyFont="1" applyFill="1" applyBorder="1" applyAlignment="1">
      <alignment horizontal="center" vertical="center"/>
    </xf>
    <xf numFmtId="0" fontId="2" fillId="7" borderId="7" xfId="0" applyFont="1" applyFill="1" applyBorder="1"/>
    <xf numFmtId="0" fontId="2" fillId="6" borderId="7" xfId="0" applyFont="1" applyFill="1" applyBorder="1"/>
    <xf numFmtId="0" fontId="12" fillId="2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21" fillId="11" borderId="7" xfId="0" applyFont="1" applyFill="1" applyBorder="1" applyAlignment="1">
      <alignment horizontal="center" vertical="center"/>
    </xf>
    <xf numFmtId="0" fontId="22" fillId="0" borderId="7" xfId="0" applyFont="1" applyBorder="1" applyAlignment="1">
      <alignment horizontal="center"/>
    </xf>
    <xf numFmtId="0" fontId="12" fillId="2" borderId="7" xfId="0" applyFont="1" applyFill="1" applyBorder="1" applyAlignment="1">
      <alignment horizontal="center" vertical="center"/>
    </xf>
    <xf numFmtId="0" fontId="0" fillId="4" borderId="0" xfId="0" applyFill="1"/>
    <xf numFmtId="0" fontId="12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10" fillId="12" borderId="7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0" borderId="4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1" fillId="10" borderId="6" xfId="0" applyFont="1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 vertical="center"/>
    </xf>
    <xf numFmtId="0" fontId="20" fillId="4" borderId="2" xfId="0" applyFont="1" applyFill="1" applyBorder="1" applyAlignment="1">
      <alignment horizontal="center" vertical="center"/>
    </xf>
    <xf numFmtId="0" fontId="20" fillId="4" borderId="3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20" fillId="4" borderId="5" xfId="0" applyFont="1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24" fillId="4" borderId="0" xfId="0" applyFont="1" applyFill="1" applyBorder="1" applyAlignment="1">
      <alignment horizontal="center" vertical="center"/>
    </xf>
    <xf numFmtId="0" fontId="24" fillId="4" borderId="18" xfId="0" applyFont="1" applyFill="1" applyBorder="1" applyAlignment="1">
      <alignment horizontal="center" vertical="center"/>
    </xf>
    <xf numFmtId="0" fontId="24" fillId="4" borderId="5" xfId="0" applyFont="1" applyFill="1" applyBorder="1" applyAlignment="1">
      <alignment horizontal="center" vertical="center"/>
    </xf>
    <xf numFmtId="0" fontId="24" fillId="4" borderId="6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3" borderId="4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/>
    </xf>
    <xf numFmtId="0" fontId="1" fillId="13" borderId="6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0" fontId="16" fillId="5" borderId="0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 textRotation="180"/>
    </xf>
    <xf numFmtId="0" fontId="16" fillId="5" borderId="1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20" fillId="2" borderId="8" xfId="0" applyFont="1" applyFill="1" applyBorder="1" applyAlignment="1">
      <alignment horizontal="center" vertical="center"/>
    </xf>
    <xf numFmtId="0" fontId="20" fillId="2" borderId="9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18" fontId="12" fillId="0" borderId="10" xfId="0" applyNumberFormat="1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2" fillId="6" borderId="8" xfId="0" applyFont="1" applyFill="1" applyBorder="1" applyAlignment="1">
      <alignment horizontal="center" vertical="center"/>
    </xf>
    <xf numFmtId="0" fontId="12" fillId="6" borderId="9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14" fontId="23" fillId="11" borderId="8" xfId="0" applyNumberFormat="1" applyFont="1" applyFill="1" applyBorder="1" applyAlignment="1">
      <alignment horizontal="center" vertical="center"/>
    </xf>
    <xf numFmtId="0" fontId="23" fillId="11" borderId="9" xfId="0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B2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Q65"/>
  <sheetViews>
    <sheetView rightToLeft="1" topLeftCell="AV1" workbookViewId="0">
      <selection activeCell="BB33" sqref="BB32:BB33"/>
    </sheetView>
  </sheetViews>
  <sheetFormatPr baseColWidth="10" defaultColWidth="9.140625" defaultRowHeight="15" x14ac:dyDescent="0.25"/>
  <cols>
    <col min="2" max="2" width="15.140625" bestFit="1" customWidth="1"/>
    <col min="3" max="3" width="14.7109375" customWidth="1"/>
    <col min="4" max="4" width="24.5703125" bestFit="1" customWidth="1"/>
    <col min="5" max="5" width="26.7109375" customWidth="1"/>
    <col min="6" max="6" width="16.85546875" customWidth="1"/>
    <col min="7" max="7" width="14.42578125" customWidth="1"/>
    <col min="8" max="8" width="16" customWidth="1"/>
    <col min="9" max="13" width="11" bestFit="1" customWidth="1"/>
    <col min="18" max="18" width="15.140625" bestFit="1" customWidth="1"/>
    <col min="19" max="19" width="22.5703125" customWidth="1"/>
    <col min="20" max="21" width="42" bestFit="1" customWidth="1"/>
    <col min="34" max="34" width="20.85546875" customWidth="1"/>
    <col min="35" max="35" width="26.5703125" bestFit="1" customWidth="1"/>
    <col min="36" max="36" width="21.140625" customWidth="1"/>
    <col min="37" max="37" width="24.7109375" customWidth="1"/>
    <col min="38" max="38" width="35.28515625" bestFit="1" customWidth="1"/>
    <col min="40" max="46" width="11" bestFit="1" customWidth="1"/>
    <col min="49" max="49" width="11" bestFit="1" customWidth="1"/>
    <col min="50" max="50" width="15.140625" bestFit="1" customWidth="1"/>
    <col min="51" max="52" width="27" bestFit="1" customWidth="1"/>
    <col min="53" max="53" width="18.7109375" bestFit="1" customWidth="1"/>
    <col min="54" max="56" width="24" bestFit="1" customWidth="1"/>
    <col min="57" max="57" width="12.5703125" customWidth="1"/>
    <col min="63" max="64" width="11" bestFit="1" customWidth="1"/>
    <col min="65" max="65" width="13.5703125" customWidth="1"/>
    <col min="66" max="66" width="15.5703125" customWidth="1"/>
    <col min="67" max="67" width="26.5703125" customWidth="1"/>
    <col min="68" max="68" width="25.28515625" customWidth="1"/>
    <col min="69" max="69" width="44" bestFit="1" customWidth="1"/>
    <col min="70" max="70" width="18.7109375" bestFit="1" customWidth="1"/>
    <col min="71" max="71" width="30.7109375" bestFit="1" customWidth="1"/>
    <col min="72" max="72" width="9.140625" customWidth="1"/>
    <col min="85" max="85" width="16.140625" bestFit="1" customWidth="1"/>
    <col min="86" max="86" width="25.5703125" bestFit="1" customWidth="1"/>
    <col min="87" max="87" width="25.28515625" bestFit="1" customWidth="1"/>
    <col min="88" max="89" width="24.5703125" bestFit="1" customWidth="1"/>
    <col min="91" max="93" width="11" bestFit="1" customWidth="1"/>
    <col min="94" max="94" width="18" bestFit="1" customWidth="1"/>
    <col min="101" max="101" width="11" bestFit="1" customWidth="1"/>
    <col min="102" max="102" width="18.85546875" customWidth="1"/>
    <col min="107" max="107" width="3.42578125" customWidth="1"/>
    <col min="108" max="108" width="0.140625" customWidth="1"/>
    <col min="109" max="109" width="23" customWidth="1"/>
    <col min="110" max="110" width="22.28515625" customWidth="1"/>
    <col min="111" max="111" width="25.5703125" customWidth="1"/>
    <col min="112" max="112" width="27.42578125" customWidth="1"/>
    <col min="133" max="133" width="18" customWidth="1"/>
    <col min="134" max="134" width="20.5703125" customWidth="1"/>
    <col min="135" max="135" width="21.42578125" bestFit="1" customWidth="1"/>
    <col min="136" max="136" width="22.42578125" bestFit="1" customWidth="1"/>
    <col min="137" max="137" width="14.7109375" customWidth="1"/>
    <col min="138" max="138" width="13.85546875" customWidth="1"/>
    <col min="139" max="139" width="17.28515625" customWidth="1"/>
  </cols>
  <sheetData>
    <row r="2" spans="2:147" x14ac:dyDescent="0.25">
      <c r="BQ2" s="69" t="s">
        <v>135</v>
      </c>
      <c r="BR2" s="70"/>
      <c r="BS2" s="70"/>
      <c r="BT2" s="70"/>
      <c r="BU2" s="70"/>
      <c r="BV2" s="71"/>
    </row>
    <row r="3" spans="2:147" x14ac:dyDescent="0.25">
      <c r="E3" s="69" t="s">
        <v>127</v>
      </c>
      <c r="F3" s="70"/>
      <c r="G3" s="70"/>
      <c r="H3" s="70"/>
      <c r="I3" s="70"/>
      <c r="J3" s="71"/>
      <c r="U3" s="69" t="s">
        <v>128</v>
      </c>
      <c r="V3" s="70"/>
      <c r="W3" s="70"/>
      <c r="X3" s="70"/>
      <c r="Y3" s="70"/>
      <c r="Z3" s="71"/>
      <c r="AK3" s="69" t="s">
        <v>21</v>
      </c>
      <c r="AL3" s="70"/>
      <c r="AM3" s="70"/>
      <c r="AN3" s="70"/>
      <c r="AO3" s="70"/>
      <c r="AP3" s="71"/>
      <c r="BQ3" s="72"/>
      <c r="BR3" s="73"/>
      <c r="BS3" s="73"/>
      <c r="BT3" s="73"/>
      <c r="BU3" s="73"/>
      <c r="BV3" s="74"/>
      <c r="CM3" s="69" t="s">
        <v>131</v>
      </c>
      <c r="CN3" s="70"/>
      <c r="CO3" s="70"/>
      <c r="CP3" s="70"/>
      <c r="CQ3" s="70"/>
      <c r="CR3" s="71"/>
    </row>
    <row r="4" spans="2:147" x14ac:dyDescent="0.25">
      <c r="E4" s="72"/>
      <c r="F4" s="73"/>
      <c r="G4" s="73"/>
      <c r="H4" s="73"/>
      <c r="I4" s="73"/>
      <c r="J4" s="74"/>
      <c r="U4" s="72"/>
      <c r="V4" s="73"/>
      <c r="W4" s="73"/>
      <c r="X4" s="73"/>
      <c r="Y4" s="73"/>
      <c r="Z4" s="74"/>
      <c r="AK4" s="72"/>
      <c r="AL4" s="73"/>
      <c r="AM4" s="73"/>
      <c r="AN4" s="73"/>
      <c r="AO4" s="73"/>
      <c r="AP4" s="74"/>
      <c r="CM4" s="72"/>
      <c r="CN4" s="73"/>
      <c r="CO4" s="73"/>
      <c r="CP4" s="73"/>
      <c r="CQ4" s="73"/>
      <c r="CR4" s="74"/>
      <c r="DG4" s="75" t="s">
        <v>163</v>
      </c>
      <c r="DH4" s="76"/>
      <c r="DI4" s="76"/>
      <c r="DJ4" s="76"/>
      <c r="DK4" s="76"/>
      <c r="DL4" s="76"/>
      <c r="EF4" s="69" t="s">
        <v>172</v>
      </c>
      <c r="EG4" s="70"/>
      <c r="EH4" s="70"/>
      <c r="EI4" s="70"/>
      <c r="EJ4" s="70"/>
      <c r="EK4" s="71"/>
    </row>
    <row r="5" spans="2:147" x14ac:dyDescent="0.25">
      <c r="BA5" s="77" t="s">
        <v>33</v>
      </c>
      <c r="BB5" s="78"/>
      <c r="BC5" s="78"/>
      <c r="BD5" s="78"/>
      <c r="BE5" s="78"/>
      <c r="BF5" s="79"/>
      <c r="DG5" s="76"/>
      <c r="DH5" s="76"/>
      <c r="DI5" s="76"/>
      <c r="DJ5" s="76"/>
      <c r="DK5" s="76"/>
      <c r="DL5" s="76"/>
      <c r="EF5" s="72"/>
      <c r="EG5" s="73"/>
      <c r="EH5" s="73"/>
      <c r="EI5" s="73"/>
      <c r="EJ5" s="73"/>
      <c r="EK5" s="74"/>
    </row>
    <row r="6" spans="2:147" ht="21" x14ac:dyDescent="0.35">
      <c r="BA6" s="80"/>
      <c r="BB6" s="81"/>
      <c r="BC6" s="81"/>
      <c r="BD6" s="81"/>
      <c r="BE6" s="81"/>
      <c r="BF6" s="82"/>
      <c r="BO6" s="1" t="s">
        <v>0</v>
      </c>
      <c r="BP6" s="1" t="s">
        <v>1</v>
      </c>
      <c r="BQ6" s="1" t="s">
        <v>2</v>
      </c>
      <c r="BR6" s="1" t="s">
        <v>78</v>
      </c>
      <c r="BS6" s="1" t="s">
        <v>3</v>
      </c>
      <c r="BT6" s="1" t="s">
        <v>4</v>
      </c>
      <c r="BU6" s="1" t="s">
        <v>5</v>
      </c>
      <c r="BV6" s="1" t="s">
        <v>6</v>
      </c>
      <c r="BW6" s="1" t="s">
        <v>7</v>
      </c>
      <c r="BX6" s="1" t="s">
        <v>79</v>
      </c>
      <c r="BY6" s="1" t="s">
        <v>8</v>
      </c>
      <c r="BZ6" s="1" t="s">
        <v>9</v>
      </c>
      <c r="CA6" s="1" t="s">
        <v>10</v>
      </c>
      <c r="CB6" s="1" t="s">
        <v>11</v>
      </c>
      <c r="CC6" s="1" t="s">
        <v>80</v>
      </c>
      <c r="CD6" s="1" t="s">
        <v>12</v>
      </c>
      <c r="CE6" s="1" t="s">
        <v>13</v>
      </c>
      <c r="CF6" s="1" t="s">
        <v>14</v>
      </c>
      <c r="CH6" s="1" t="s">
        <v>0</v>
      </c>
      <c r="CI6" s="7" t="s">
        <v>1</v>
      </c>
      <c r="CJ6" s="1" t="s">
        <v>2</v>
      </c>
      <c r="CK6" s="1" t="s">
        <v>3</v>
      </c>
      <c r="CL6" s="1" t="s">
        <v>4</v>
      </c>
      <c r="CM6" s="1" t="s">
        <v>5</v>
      </c>
      <c r="CN6" s="1" t="s">
        <v>6</v>
      </c>
      <c r="CO6" s="1" t="s">
        <v>7</v>
      </c>
      <c r="CP6" s="1" t="s">
        <v>79</v>
      </c>
      <c r="CQ6" s="1" t="s">
        <v>8</v>
      </c>
      <c r="CR6" s="1" t="s">
        <v>9</v>
      </c>
      <c r="CS6" s="1" t="s">
        <v>10</v>
      </c>
      <c r="CT6" s="1" t="s">
        <v>11</v>
      </c>
      <c r="CU6" s="1" t="s">
        <v>80</v>
      </c>
      <c r="CV6" s="1" t="s">
        <v>12</v>
      </c>
      <c r="CW6" s="1" t="s">
        <v>13</v>
      </c>
      <c r="CX6" s="1" t="s">
        <v>14</v>
      </c>
    </row>
    <row r="7" spans="2:147" ht="21" x14ac:dyDescent="0.35">
      <c r="B7" s="1" t="s">
        <v>0</v>
      </c>
      <c r="C7" s="1" t="s">
        <v>1</v>
      </c>
      <c r="D7" s="1" t="s">
        <v>2</v>
      </c>
      <c r="E7" s="7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14</v>
      </c>
      <c r="R7" s="7" t="s">
        <v>0</v>
      </c>
      <c r="S7" s="7" t="s">
        <v>1</v>
      </c>
      <c r="T7" s="7" t="s">
        <v>2</v>
      </c>
      <c r="U7" s="7" t="s">
        <v>3</v>
      </c>
      <c r="V7" s="1" t="s">
        <v>4</v>
      </c>
      <c r="W7" s="1" t="s">
        <v>5</v>
      </c>
      <c r="X7" s="1" t="s">
        <v>6</v>
      </c>
      <c r="Y7" s="1" t="s">
        <v>7</v>
      </c>
      <c r="Z7" s="1" t="s">
        <v>8</v>
      </c>
      <c r="AA7" s="1" t="s">
        <v>9</v>
      </c>
      <c r="AB7" s="1" t="s">
        <v>10</v>
      </c>
      <c r="AC7" s="1" t="s">
        <v>11</v>
      </c>
      <c r="AD7" s="1" t="s">
        <v>12</v>
      </c>
      <c r="AE7" s="1" t="s">
        <v>13</v>
      </c>
      <c r="AF7" s="1" t="s">
        <v>14</v>
      </c>
      <c r="AH7" s="1" t="s">
        <v>0</v>
      </c>
      <c r="AI7" s="1" t="s">
        <v>1</v>
      </c>
      <c r="AJ7" s="1" t="s">
        <v>2</v>
      </c>
      <c r="AK7" s="1" t="s">
        <v>78</v>
      </c>
      <c r="AL7" s="1" t="s">
        <v>3</v>
      </c>
      <c r="AM7" s="1" t="s">
        <v>4</v>
      </c>
      <c r="AN7" s="1" t="s">
        <v>5</v>
      </c>
      <c r="AO7" s="1" t="s">
        <v>6</v>
      </c>
      <c r="AP7" s="1" t="s">
        <v>7</v>
      </c>
      <c r="AQ7" s="1" t="s">
        <v>8</v>
      </c>
      <c r="AR7" s="1" t="s">
        <v>9</v>
      </c>
      <c r="AS7" s="1" t="s">
        <v>10</v>
      </c>
      <c r="AT7" s="1" t="s">
        <v>11</v>
      </c>
      <c r="AU7" s="1" t="s">
        <v>12</v>
      </c>
      <c r="AV7" s="1" t="s">
        <v>13</v>
      </c>
      <c r="AW7" s="1" t="s">
        <v>14</v>
      </c>
      <c r="AY7" s="7" t="s">
        <v>0</v>
      </c>
      <c r="AZ7" s="7" t="s">
        <v>1</v>
      </c>
      <c r="BA7" s="7" t="s">
        <v>2</v>
      </c>
      <c r="BB7" s="7" t="s">
        <v>3</v>
      </c>
      <c r="BC7" s="7" t="s">
        <v>4</v>
      </c>
      <c r="BD7" s="7" t="s">
        <v>5</v>
      </c>
      <c r="BE7" s="1" t="s">
        <v>6</v>
      </c>
      <c r="BF7" s="1" t="s">
        <v>7</v>
      </c>
      <c r="BG7" s="1" t="s">
        <v>8</v>
      </c>
      <c r="BH7" s="1" t="s">
        <v>9</v>
      </c>
      <c r="BI7" s="1" t="s">
        <v>10</v>
      </c>
      <c r="BJ7" s="1" t="s">
        <v>11</v>
      </c>
      <c r="BK7" s="1" t="s">
        <v>12</v>
      </c>
      <c r="BL7" s="1" t="s">
        <v>13</v>
      </c>
      <c r="BM7" s="1" t="s">
        <v>14</v>
      </c>
      <c r="BO7" s="67" t="s">
        <v>81</v>
      </c>
      <c r="BP7" s="67" t="s">
        <v>82</v>
      </c>
      <c r="BQ7" s="2">
        <v>250</v>
      </c>
      <c r="BR7" s="2">
        <v>1500</v>
      </c>
      <c r="BS7" s="2">
        <v>10000</v>
      </c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H7" s="67" t="s">
        <v>132</v>
      </c>
      <c r="CI7" s="67"/>
      <c r="CJ7" s="2">
        <v>250</v>
      </c>
      <c r="CK7" s="2">
        <v>2500</v>
      </c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DE7" s="7" t="s">
        <v>0</v>
      </c>
      <c r="DF7" s="7" t="s">
        <v>1</v>
      </c>
      <c r="DG7" s="7" t="s">
        <v>2</v>
      </c>
      <c r="DH7" s="7" t="s">
        <v>3</v>
      </c>
      <c r="DI7" s="7" t="s">
        <v>4</v>
      </c>
      <c r="DJ7" s="7" t="s">
        <v>5</v>
      </c>
      <c r="DK7" s="7" t="s">
        <v>6</v>
      </c>
      <c r="DL7" s="7" t="s">
        <v>7</v>
      </c>
      <c r="DM7" s="7" t="s">
        <v>8</v>
      </c>
      <c r="DN7" s="7" t="s">
        <v>9</v>
      </c>
      <c r="DO7" s="7" t="s">
        <v>10</v>
      </c>
      <c r="DP7" s="7" t="s">
        <v>11</v>
      </c>
      <c r="DQ7" s="7" t="s">
        <v>12</v>
      </c>
      <c r="DR7" s="7" t="s">
        <v>13</v>
      </c>
      <c r="DS7" s="7" t="s">
        <v>14</v>
      </c>
      <c r="EC7" s="7" t="s">
        <v>0</v>
      </c>
      <c r="ED7" s="7" t="s">
        <v>1</v>
      </c>
      <c r="EE7" s="7" t="s">
        <v>2</v>
      </c>
      <c r="EF7" s="7" t="s">
        <v>3</v>
      </c>
      <c r="EG7" s="7" t="s">
        <v>4</v>
      </c>
      <c r="EH7" s="7" t="s">
        <v>5</v>
      </c>
      <c r="EI7" s="7" t="s">
        <v>6</v>
      </c>
      <c r="EJ7" s="7" t="s">
        <v>7</v>
      </c>
      <c r="EK7" s="7" t="s">
        <v>8</v>
      </c>
      <c r="EL7" s="7" t="s">
        <v>9</v>
      </c>
      <c r="EM7" s="7" t="s">
        <v>10</v>
      </c>
      <c r="EN7" s="7" t="s">
        <v>11</v>
      </c>
      <c r="EO7" s="7" t="s">
        <v>12</v>
      </c>
      <c r="EP7" s="7" t="s">
        <v>13</v>
      </c>
      <c r="EQ7" s="7" t="s">
        <v>14</v>
      </c>
    </row>
    <row r="8" spans="2:147" x14ac:dyDescent="0.25">
      <c r="B8" s="67" t="s">
        <v>15</v>
      </c>
      <c r="C8" s="67" t="s">
        <v>16</v>
      </c>
      <c r="D8" s="2">
        <v>250</v>
      </c>
      <c r="E8" s="2">
        <v>2500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R8" s="67" t="s">
        <v>18</v>
      </c>
      <c r="S8" s="67" t="s">
        <v>19</v>
      </c>
      <c r="T8" s="2">
        <v>250</v>
      </c>
      <c r="U8" s="2">
        <v>2500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H8" s="83" t="s">
        <v>22</v>
      </c>
      <c r="AI8" s="67" t="s">
        <v>23</v>
      </c>
      <c r="AJ8" s="2">
        <v>250</v>
      </c>
      <c r="AK8" s="2"/>
      <c r="AL8" s="2">
        <v>2500</v>
      </c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Y8" s="91" t="s">
        <v>34</v>
      </c>
      <c r="AZ8" s="67" t="s">
        <v>36</v>
      </c>
      <c r="BA8" s="2">
        <v>250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O8" s="68"/>
      <c r="BP8" s="68"/>
      <c r="BQ8" s="2" t="s">
        <v>83</v>
      </c>
      <c r="BR8" s="2" t="s">
        <v>179</v>
      </c>
      <c r="BS8" s="2" t="s">
        <v>100</v>
      </c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H8" s="68"/>
      <c r="CI8" s="68"/>
      <c r="CJ8" s="2" t="s">
        <v>133</v>
      </c>
      <c r="CK8" s="2" t="s">
        <v>133</v>
      </c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DE8" s="67" t="s">
        <v>164</v>
      </c>
      <c r="DF8" s="67" t="s">
        <v>165</v>
      </c>
      <c r="DG8" s="2">
        <v>250</v>
      </c>
      <c r="DH8" s="2">
        <v>2500</v>
      </c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EC8" s="67" t="s">
        <v>174</v>
      </c>
      <c r="ED8" s="67" t="s">
        <v>464</v>
      </c>
      <c r="EE8" s="2">
        <v>250</v>
      </c>
      <c r="EF8" s="2">
        <v>2500</v>
      </c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</row>
    <row r="9" spans="2:147" x14ac:dyDescent="0.25">
      <c r="B9" s="68"/>
      <c r="C9" s="68"/>
      <c r="D9" s="2" t="s">
        <v>17</v>
      </c>
      <c r="E9" s="2" t="s">
        <v>17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R9" s="68"/>
      <c r="S9" s="68"/>
      <c r="T9" s="2" t="s">
        <v>20</v>
      </c>
      <c r="U9" s="2" t="s">
        <v>274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H9" s="84"/>
      <c r="AI9" s="68"/>
      <c r="AJ9" s="2" t="s">
        <v>147</v>
      </c>
      <c r="AK9" s="2"/>
      <c r="AL9" s="2" t="s">
        <v>149</v>
      </c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Y9" s="92"/>
      <c r="AZ9" s="68"/>
      <c r="BA9" s="2" t="s">
        <v>35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O9" s="67" t="s">
        <v>84</v>
      </c>
      <c r="BP9" s="67" t="s">
        <v>85</v>
      </c>
      <c r="BQ9" s="2">
        <v>250</v>
      </c>
      <c r="BR9" s="2">
        <v>1500</v>
      </c>
      <c r="BS9" s="2">
        <v>10000</v>
      </c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H9" s="67" t="s">
        <v>180</v>
      </c>
      <c r="CI9" s="67"/>
      <c r="CJ9" s="2">
        <v>250</v>
      </c>
      <c r="CK9" s="2">
        <v>2500</v>
      </c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DE9" s="68"/>
      <c r="DF9" s="68"/>
      <c r="DG9" s="2" t="s">
        <v>647</v>
      </c>
      <c r="DH9" s="2" t="s">
        <v>647</v>
      </c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EC9" s="68"/>
      <c r="ED9" s="68"/>
      <c r="EE9" s="2" t="s">
        <v>509</v>
      </c>
      <c r="EF9" s="2" t="s">
        <v>509</v>
      </c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</row>
    <row r="10" spans="2:147" x14ac:dyDescent="0.25">
      <c r="B10" s="67" t="s">
        <v>54</v>
      </c>
      <c r="C10" s="67" t="s">
        <v>55</v>
      </c>
      <c r="D10" s="2">
        <v>250</v>
      </c>
      <c r="E10" s="2">
        <v>2500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R10" s="67" t="s">
        <v>57</v>
      </c>
      <c r="S10" s="67" t="s">
        <v>59</v>
      </c>
      <c r="T10" s="2">
        <v>250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H10" s="67" t="s">
        <v>24</v>
      </c>
      <c r="AI10" s="67" t="s">
        <v>25</v>
      </c>
      <c r="AJ10" s="2">
        <v>250</v>
      </c>
      <c r="AK10" s="2"/>
      <c r="AL10" s="2">
        <v>2500</v>
      </c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Y10" s="91" t="s">
        <v>51</v>
      </c>
      <c r="AZ10" s="67" t="s">
        <v>53</v>
      </c>
      <c r="BA10" s="2">
        <v>250</v>
      </c>
      <c r="BB10" s="2">
        <v>3000</v>
      </c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O10" s="68"/>
      <c r="BP10" s="68"/>
      <c r="BQ10" s="2" t="s">
        <v>462</v>
      </c>
      <c r="BR10" s="2" t="s">
        <v>179</v>
      </c>
      <c r="BS10" s="2" t="s">
        <v>95</v>
      </c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H10" s="68"/>
      <c r="CI10" s="68"/>
      <c r="CJ10" s="2" t="s">
        <v>181</v>
      </c>
      <c r="CK10" s="2" t="s">
        <v>181</v>
      </c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DE10" s="67" t="s">
        <v>166</v>
      </c>
      <c r="DF10" s="67" t="s">
        <v>129</v>
      </c>
      <c r="DG10" s="2">
        <v>250</v>
      </c>
      <c r="DH10" s="2">
        <v>1750</v>
      </c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EC10" s="67" t="s">
        <v>173</v>
      </c>
      <c r="ED10" s="67" t="s">
        <v>463</v>
      </c>
      <c r="EE10" s="2">
        <v>250</v>
      </c>
      <c r="EF10" s="2">
        <v>2500</v>
      </c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</row>
    <row r="11" spans="2:147" x14ac:dyDescent="0.25">
      <c r="B11" s="68"/>
      <c r="C11" s="68"/>
      <c r="D11" s="2" t="s">
        <v>56</v>
      </c>
      <c r="E11" s="2" t="s">
        <v>182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R11" s="68"/>
      <c r="S11" s="68"/>
      <c r="T11" s="2" t="s">
        <v>58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H11" s="68"/>
      <c r="AI11" s="68"/>
      <c r="AJ11" s="2" t="s">
        <v>26</v>
      </c>
      <c r="AK11" s="2"/>
      <c r="AL11" s="2" t="s">
        <v>26</v>
      </c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Y11" s="92"/>
      <c r="AZ11" s="68"/>
      <c r="BA11" s="2" t="s">
        <v>52</v>
      </c>
      <c r="BB11" s="2" t="s">
        <v>499</v>
      </c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O11" s="67" t="s">
        <v>86</v>
      </c>
      <c r="BP11" s="67" t="s">
        <v>87</v>
      </c>
      <c r="BQ11" s="2">
        <v>250</v>
      </c>
      <c r="BR11" s="2">
        <v>1500</v>
      </c>
      <c r="BS11" s="2">
        <v>10000</v>
      </c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H11" s="67" t="s">
        <v>503</v>
      </c>
      <c r="CI11" s="67"/>
      <c r="CJ11" s="2">
        <v>250</v>
      </c>
      <c r="CK11" s="2">
        <v>2500</v>
      </c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DE11" s="68"/>
      <c r="DF11" s="68"/>
      <c r="DG11" s="2" t="s">
        <v>644</v>
      </c>
      <c r="DH11" s="2" t="s">
        <v>644</v>
      </c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EC11" s="68"/>
      <c r="ED11" s="68"/>
      <c r="EE11" s="2" t="s">
        <v>175</v>
      </c>
      <c r="EF11" s="2" t="s">
        <v>510</v>
      </c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</row>
    <row r="12" spans="2:147" x14ac:dyDescent="0.25">
      <c r="B12" s="67" t="s">
        <v>97</v>
      </c>
      <c r="C12" s="67" t="s">
        <v>98</v>
      </c>
      <c r="D12" s="2">
        <v>250</v>
      </c>
      <c r="E12" s="2">
        <v>2500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R12" s="67" t="s">
        <v>122</v>
      </c>
      <c r="S12" s="67" t="s">
        <v>123</v>
      </c>
      <c r="T12" s="2">
        <v>250</v>
      </c>
      <c r="U12" s="2">
        <v>2500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H12" s="67" t="s">
        <v>27</v>
      </c>
      <c r="AI12" s="67" t="s">
        <v>28</v>
      </c>
      <c r="AJ12" s="2">
        <v>250</v>
      </c>
      <c r="AK12" s="2"/>
      <c r="AL12" s="2">
        <v>2500</v>
      </c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Y12" s="91" t="s">
        <v>105</v>
      </c>
      <c r="AZ12" s="67" t="s">
        <v>106</v>
      </c>
      <c r="BA12" s="2">
        <v>250</v>
      </c>
      <c r="BB12" s="2">
        <v>3000</v>
      </c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O12" s="68"/>
      <c r="BP12" s="68"/>
      <c r="BQ12" s="2" t="s">
        <v>92</v>
      </c>
      <c r="BR12" s="2" t="s">
        <v>162</v>
      </c>
      <c r="BS12" s="2" t="s">
        <v>96</v>
      </c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H12" s="68"/>
      <c r="CI12" s="68"/>
      <c r="CJ12" s="2" t="s">
        <v>504</v>
      </c>
      <c r="CK12" s="2" t="s">
        <v>504</v>
      </c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DE12" s="67" t="s">
        <v>167</v>
      </c>
      <c r="DF12" s="67" t="s">
        <v>168</v>
      </c>
      <c r="DG12" s="2">
        <v>250</v>
      </c>
      <c r="DH12" s="2">
        <v>2500</v>
      </c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EC12" s="67" t="s">
        <v>492</v>
      </c>
      <c r="ED12" s="67"/>
      <c r="EE12" s="2">
        <v>250</v>
      </c>
      <c r="EF12" s="2">
        <v>2500</v>
      </c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</row>
    <row r="13" spans="2:147" x14ac:dyDescent="0.25">
      <c r="B13" s="68"/>
      <c r="C13" s="68"/>
      <c r="D13" s="2" t="s">
        <v>99</v>
      </c>
      <c r="E13" s="2" t="s">
        <v>99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R13" s="68"/>
      <c r="S13" s="68"/>
      <c r="T13" s="2" t="s">
        <v>126</v>
      </c>
      <c r="U13" s="2" t="s">
        <v>275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H13" s="68"/>
      <c r="AI13" s="68"/>
      <c r="AJ13" s="2" t="s">
        <v>29</v>
      </c>
      <c r="AK13" s="2"/>
      <c r="AL13" s="2" t="s">
        <v>29</v>
      </c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Y13" s="92"/>
      <c r="AZ13" s="68"/>
      <c r="BA13" s="2" t="s">
        <v>107</v>
      </c>
      <c r="BB13" s="2" t="s">
        <v>107</v>
      </c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O13" s="67" t="s">
        <v>88</v>
      </c>
      <c r="BP13" s="67" t="s">
        <v>89</v>
      </c>
      <c r="BQ13" s="2">
        <v>250</v>
      </c>
      <c r="BR13" s="2">
        <v>1500</v>
      </c>
      <c r="BS13" s="2">
        <v>10000</v>
      </c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H13" s="67" t="s">
        <v>507</v>
      </c>
      <c r="CI13" s="67"/>
      <c r="CJ13" s="2">
        <v>250</v>
      </c>
      <c r="CK13" s="2">
        <v>2500</v>
      </c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DE13" s="68"/>
      <c r="DF13" s="68"/>
      <c r="DG13" s="2" t="s">
        <v>645</v>
      </c>
      <c r="DH13" s="2" t="s">
        <v>645</v>
      </c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EC13" s="68"/>
      <c r="ED13" s="68"/>
      <c r="EE13" s="2" t="s">
        <v>493</v>
      </c>
      <c r="EF13" s="2" t="s">
        <v>493</v>
      </c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</row>
    <row r="14" spans="2:147" x14ac:dyDescent="0.25">
      <c r="B14" s="67" t="s">
        <v>176</v>
      </c>
      <c r="C14" s="67" t="s">
        <v>177</v>
      </c>
      <c r="D14" s="2">
        <v>250</v>
      </c>
      <c r="E14" s="2">
        <v>2500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R14" s="67" t="s">
        <v>124</v>
      </c>
      <c r="S14" s="67" t="s">
        <v>125</v>
      </c>
      <c r="T14" s="2">
        <v>250</v>
      </c>
      <c r="U14" s="2">
        <v>2500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H14" s="67" t="s">
        <v>30</v>
      </c>
      <c r="AI14" s="67" t="s">
        <v>31</v>
      </c>
      <c r="AJ14" s="2">
        <v>250</v>
      </c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Y14" s="91" t="s">
        <v>166</v>
      </c>
      <c r="AZ14" s="67" t="s">
        <v>129</v>
      </c>
      <c r="BA14" s="2">
        <v>250</v>
      </c>
      <c r="BB14" s="2">
        <v>750</v>
      </c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O14" s="68"/>
      <c r="BP14" s="68"/>
      <c r="BQ14" s="2" t="s">
        <v>93</v>
      </c>
      <c r="BR14" s="2" t="s">
        <v>148</v>
      </c>
      <c r="BS14" s="2" t="s">
        <v>93</v>
      </c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H14" s="68"/>
      <c r="CI14" s="68"/>
      <c r="CJ14" s="2" t="s">
        <v>508</v>
      </c>
      <c r="CK14" s="2" t="s">
        <v>508</v>
      </c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DE14" s="67" t="s">
        <v>169</v>
      </c>
      <c r="DF14" s="67" t="s">
        <v>170</v>
      </c>
      <c r="DG14" s="2">
        <v>250</v>
      </c>
      <c r="DH14" s="2">
        <v>2500</v>
      </c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EC14" s="67" t="s">
        <v>496</v>
      </c>
      <c r="ED14" s="67"/>
      <c r="EE14" s="2"/>
      <c r="EF14" s="2" t="s">
        <v>498</v>
      </c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</row>
    <row r="15" spans="2:147" x14ac:dyDescent="0.25">
      <c r="B15" s="68"/>
      <c r="C15" s="68"/>
      <c r="D15" s="2" t="s">
        <v>178</v>
      </c>
      <c r="E15" s="2" t="s">
        <v>178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68"/>
      <c r="S15" s="68"/>
      <c r="T15" s="2" t="s">
        <v>465</v>
      </c>
      <c r="U15" s="2" t="s">
        <v>273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H15" s="68"/>
      <c r="AI15" s="68"/>
      <c r="AJ15" s="2" t="s">
        <v>32</v>
      </c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Y15" s="92"/>
      <c r="AZ15" s="68"/>
      <c r="BA15" s="2" t="s">
        <v>130</v>
      </c>
      <c r="BB15" s="2" t="s">
        <v>130</v>
      </c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O15" s="67" t="s">
        <v>90</v>
      </c>
      <c r="BP15" s="67" t="s">
        <v>91</v>
      </c>
      <c r="BQ15" s="2">
        <v>250</v>
      </c>
      <c r="BR15" s="2">
        <v>3000</v>
      </c>
      <c r="BS15" s="2" t="s">
        <v>118</v>
      </c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H15" s="67" t="s">
        <v>511</v>
      </c>
      <c r="CI15" s="67"/>
      <c r="CJ15" s="2">
        <v>250</v>
      </c>
      <c r="CK15" s="2">
        <v>2500</v>
      </c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DE15" s="68"/>
      <c r="DF15" s="68"/>
      <c r="DG15" s="2" t="s">
        <v>171</v>
      </c>
      <c r="DH15" s="2" t="s">
        <v>171</v>
      </c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EC15" s="68"/>
      <c r="ED15" s="68"/>
      <c r="EE15" s="2"/>
      <c r="EF15" s="2" t="s">
        <v>497</v>
      </c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</row>
    <row r="16" spans="2:147" x14ac:dyDescent="0.25">
      <c r="B16" s="67" t="s">
        <v>183</v>
      </c>
      <c r="C16" s="67"/>
      <c r="D16" s="2"/>
      <c r="E16" s="2" t="s">
        <v>185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R16" s="67" t="s">
        <v>265</v>
      </c>
      <c r="S16" s="67" t="s">
        <v>266</v>
      </c>
      <c r="T16" s="2">
        <v>250</v>
      </c>
      <c r="U16" s="2">
        <v>2500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H16" s="83" t="s">
        <v>37</v>
      </c>
      <c r="AI16" s="67" t="s">
        <v>38</v>
      </c>
      <c r="AJ16" s="2">
        <v>250</v>
      </c>
      <c r="AK16" s="2"/>
      <c r="AL16" s="2" t="s">
        <v>150</v>
      </c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Y16" s="91" t="s">
        <v>222</v>
      </c>
      <c r="AZ16" s="67" t="s">
        <v>631</v>
      </c>
      <c r="BA16" s="2">
        <v>250</v>
      </c>
      <c r="BB16" s="2" t="s">
        <v>225</v>
      </c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O16" s="68"/>
      <c r="BP16" s="68"/>
      <c r="BQ16" s="2" t="s">
        <v>94</v>
      </c>
      <c r="BR16" s="2" t="s">
        <v>136</v>
      </c>
      <c r="BS16" s="2" t="s">
        <v>119</v>
      </c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H16" s="68"/>
      <c r="CI16" s="68"/>
      <c r="CJ16" s="2" t="s">
        <v>512</v>
      </c>
      <c r="CK16" s="2" t="s">
        <v>512</v>
      </c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DE16" s="67" t="s">
        <v>222</v>
      </c>
      <c r="DF16" s="67" t="s">
        <v>223</v>
      </c>
      <c r="DG16" s="2">
        <v>250</v>
      </c>
      <c r="DH16" s="2">
        <v>2500</v>
      </c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EC16" s="67" t="s">
        <v>505</v>
      </c>
      <c r="ED16" s="67"/>
      <c r="EE16" s="2">
        <v>250</v>
      </c>
      <c r="EF16" s="2">
        <v>2500</v>
      </c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</row>
    <row r="17" spans="2:147" x14ac:dyDescent="0.25">
      <c r="B17" s="68"/>
      <c r="C17" s="68"/>
      <c r="D17" s="2"/>
      <c r="E17" s="2" t="s">
        <v>184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R17" s="68"/>
      <c r="S17" s="68"/>
      <c r="T17" s="2" t="s">
        <v>267</v>
      </c>
      <c r="U17" s="2" t="s">
        <v>267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H17" s="84"/>
      <c r="AI17" s="68"/>
      <c r="AJ17" s="2" t="s">
        <v>139</v>
      </c>
      <c r="AK17" s="2"/>
      <c r="AL17" s="2" t="s">
        <v>151</v>
      </c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Y17" s="92"/>
      <c r="AZ17" s="68"/>
      <c r="BA17" s="2" t="s">
        <v>224</v>
      </c>
      <c r="BB17" s="2" t="s">
        <v>224</v>
      </c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O17" s="67" t="s">
        <v>101</v>
      </c>
      <c r="BP17" s="67" t="s">
        <v>102</v>
      </c>
      <c r="BQ17" s="2">
        <v>250</v>
      </c>
      <c r="BR17" s="2">
        <v>1500</v>
      </c>
      <c r="BS17" s="2" t="s">
        <v>115</v>
      </c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H17" s="67" t="s">
        <v>513</v>
      </c>
      <c r="CI17" s="67"/>
      <c r="CJ17" s="2">
        <v>250</v>
      </c>
      <c r="CK17" s="2">
        <v>2500</v>
      </c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DE17" s="68"/>
      <c r="DF17" s="68"/>
      <c r="DG17" s="2" t="s">
        <v>226</v>
      </c>
      <c r="DH17" s="2" t="s">
        <v>226</v>
      </c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EC17" s="68"/>
      <c r="ED17" s="68"/>
      <c r="EE17" s="2" t="s">
        <v>506</v>
      </c>
      <c r="EF17" s="2" t="s">
        <v>506</v>
      </c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</row>
    <row r="18" spans="2:147" x14ac:dyDescent="0.25">
      <c r="B18" s="67"/>
      <c r="C18" s="67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R18" s="67" t="s">
        <v>640</v>
      </c>
      <c r="S18" s="67"/>
      <c r="T18" s="2">
        <v>250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H18" s="67" t="s">
        <v>39</v>
      </c>
      <c r="AI18" s="67" t="s">
        <v>41</v>
      </c>
      <c r="AJ18" s="2">
        <v>250</v>
      </c>
      <c r="AK18" s="2"/>
      <c r="AL18" s="2">
        <v>2500</v>
      </c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Y18" s="91" t="s">
        <v>397</v>
      </c>
      <c r="AZ18" s="67" t="s">
        <v>630</v>
      </c>
      <c r="BA18" s="2">
        <v>250</v>
      </c>
      <c r="BB18" s="2" t="s">
        <v>225</v>
      </c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O18" s="68"/>
      <c r="BP18" s="68"/>
      <c r="BQ18" s="2" t="s">
        <v>117</v>
      </c>
      <c r="BR18" s="2" t="s">
        <v>117</v>
      </c>
      <c r="BS18" s="2" t="s">
        <v>116</v>
      </c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H18" s="68"/>
      <c r="CI18" s="68"/>
      <c r="CJ18" s="2" t="s">
        <v>514</v>
      </c>
      <c r="CK18" s="2" t="s">
        <v>514</v>
      </c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DE18" s="67" t="s">
        <v>261</v>
      </c>
      <c r="DF18" s="67" t="s">
        <v>262</v>
      </c>
      <c r="DG18" s="2">
        <v>250</v>
      </c>
      <c r="DH18" s="2">
        <v>2500</v>
      </c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EC18" s="67"/>
      <c r="ED18" s="67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</row>
    <row r="19" spans="2:147" x14ac:dyDescent="0.25">
      <c r="B19" s="68"/>
      <c r="C19" s="68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R19" s="68"/>
      <c r="S19" s="68"/>
      <c r="T19" s="2" t="s">
        <v>641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H19" s="68"/>
      <c r="AI19" s="68"/>
      <c r="AJ19" s="2" t="s">
        <v>40</v>
      </c>
      <c r="AK19" s="2"/>
      <c r="AL19" s="2" t="s">
        <v>40</v>
      </c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Y19" s="92"/>
      <c r="AZ19" s="68"/>
      <c r="BA19" s="2" t="s">
        <v>398</v>
      </c>
      <c r="BB19" s="2" t="s">
        <v>398</v>
      </c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O19" s="67" t="s">
        <v>103</v>
      </c>
      <c r="BP19" s="67"/>
      <c r="BQ19" s="2">
        <v>250</v>
      </c>
      <c r="BR19" s="2">
        <v>1500</v>
      </c>
      <c r="BS19" s="2">
        <v>10000</v>
      </c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H19" s="67" t="s">
        <v>515</v>
      </c>
      <c r="CI19" s="67"/>
      <c r="CJ19" s="2">
        <v>250</v>
      </c>
      <c r="CK19" s="2">
        <v>2500</v>
      </c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DE19" s="68"/>
      <c r="DF19" s="68"/>
      <c r="DG19" s="2" t="s">
        <v>263</v>
      </c>
      <c r="DH19" s="2" t="s">
        <v>263</v>
      </c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EC19" s="68"/>
      <c r="ED19" s="68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</row>
    <row r="20" spans="2:147" x14ac:dyDescent="0.25">
      <c r="B20" s="67"/>
      <c r="C20" s="67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R20" s="67"/>
      <c r="S20" s="67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H20" s="67" t="s">
        <v>42</v>
      </c>
      <c r="AI20" s="67" t="s">
        <v>43</v>
      </c>
      <c r="AJ20" s="2">
        <v>250</v>
      </c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Y20" s="67" t="s">
        <v>494</v>
      </c>
      <c r="AZ20" s="67"/>
      <c r="BA20" s="2"/>
      <c r="BB20" s="2" t="s">
        <v>495</v>
      </c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O20" s="68"/>
      <c r="BP20" s="68"/>
      <c r="BQ20" s="2" t="s">
        <v>104</v>
      </c>
      <c r="BR20" s="2" t="s">
        <v>155</v>
      </c>
      <c r="BS20" s="2" t="s">
        <v>104</v>
      </c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H20" s="68"/>
      <c r="CI20" s="68"/>
      <c r="CJ20" s="2" t="s">
        <v>516</v>
      </c>
      <c r="CK20" s="2" t="s">
        <v>516</v>
      </c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DE20" s="67" t="s">
        <v>642</v>
      </c>
      <c r="DF20" s="67"/>
      <c r="DG20" s="2">
        <v>500</v>
      </c>
      <c r="DH20" s="2">
        <v>2500</v>
      </c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EC20" s="67"/>
      <c r="ED20" s="67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</row>
    <row r="21" spans="2:147" x14ac:dyDescent="0.25">
      <c r="B21" s="68"/>
      <c r="C21" s="68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R21" s="68"/>
      <c r="S21" s="68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H21" s="68"/>
      <c r="AI21" s="68"/>
      <c r="AJ21" s="2" t="s">
        <v>44</v>
      </c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Y21" s="68"/>
      <c r="AZ21" s="68"/>
      <c r="BA21" s="2"/>
      <c r="BB21" s="2" t="s">
        <v>398</v>
      </c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O21" s="67" t="s">
        <v>112</v>
      </c>
      <c r="BP21" s="67" t="s">
        <v>113</v>
      </c>
      <c r="BQ21" s="2">
        <v>250</v>
      </c>
      <c r="BR21" s="2">
        <v>1500</v>
      </c>
      <c r="BS21" s="2">
        <v>10000</v>
      </c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H21" s="67"/>
      <c r="CI21" s="67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DE21" s="68"/>
      <c r="DF21" s="68"/>
      <c r="DG21" s="2" t="s">
        <v>643</v>
      </c>
      <c r="DH21" s="2" t="s">
        <v>643</v>
      </c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EC21" s="68"/>
      <c r="ED21" s="68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</row>
    <row r="22" spans="2:147" x14ac:dyDescent="0.25">
      <c r="B22" s="67"/>
      <c r="C22" s="67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R22" s="67"/>
      <c r="S22" s="67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H22" s="67" t="s">
        <v>45</v>
      </c>
      <c r="AI22" s="67" t="s">
        <v>46</v>
      </c>
      <c r="AJ22" s="2">
        <v>250</v>
      </c>
      <c r="AK22" s="2"/>
      <c r="AL22" s="2">
        <v>2500</v>
      </c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Y22" s="67" t="s">
        <v>500</v>
      </c>
      <c r="AZ22" s="67"/>
      <c r="BA22" s="2"/>
      <c r="BB22" s="2" t="s">
        <v>502</v>
      </c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O22" s="68"/>
      <c r="BP22" s="68"/>
      <c r="BQ22" s="2" t="s">
        <v>114</v>
      </c>
      <c r="BR22" s="2" t="s">
        <v>161</v>
      </c>
      <c r="BS22" s="2" t="s">
        <v>114</v>
      </c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H22" s="68"/>
      <c r="CI22" s="68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DE22" s="67"/>
      <c r="DF22" s="67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EC22" s="67"/>
      <c r="ED22" s="67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</row>
    <row r="23" spans="2:147" x14ac:dyDescent="0.25">
      <c r="B23" s="68"/>
      <c r="C23" s="68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68"/>
      <c r="S23" s="68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H23" s="68"/>
      <c r="AI23" s="68"/>
      <c r="AJ23" s="2" t="s">
        <v>47</v>
      </c>
      <c r="AK23" s="2"/>
      <c r="AL23" s="2" t="s">
        <v>47</v>
      </c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Y23" s="68"/>
      <c r="AZ23" s="68"/>
      <c r="BA23" s="2"/>
      <c r="BB23" s="2" t="s">
        <v>501</v>
      </c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O23" s="67"/>
      <c r="BP23" s="67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H23" s="67"/>
      <c r="CI23" s="67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DE23" s="68"/>
      <c r="DF23" s="68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EC23" s="68"/>
      <c r="ED23" s="68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</row>
    <row r="24" spans="2:147" x14ac:dyDescent="0.25">
      <c r="B24" s="67"/>
      <c r="C24" s="67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R24" s="67"/>
      <c r="S24" s="67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H24" s="67" t="s">
        <v>48</v>
      </c>
      <c r="AI24" s="67" t="s">
        <v>49</v>
      </c>
      <c r="AJ24" s="2">
        <v>250</v>
      </c>
      <c r="AK24" s="2"/>
      <c r="AL24" s="2">
        <v>2500</v>
      </c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Y24" s="67" t="s">
        <v>628</v>
      </c>
      <c r="AZ24" s="67" t="s">
        <v>654</v>
      </c>
      <c r="BA24" s="2"/>
      <c r="BB24" s="2">
        <v>3000</v>
      </c>
      <c r="BC24" s="2">
        <v>3000</v>
      </c>
      <c r="BD24" s="2">
        <v>3000</v>
      </c>
      <c r="BE24" s="2"/>
      <c r="BF24" s="2"/>
      <c r="BG24" s="2"/>
      <c r="BH24" s="2"/>
      <c r="BI24" s="2"/>
      <c r="BJ24" s="2"/>
      <c r="BK24" s="2"/>
      <c r="BL24" s="2"/>
      <c r="BM24" s="2"/>
      <c r="BO24" s="68"/>
      <c r="BP24" s="68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H24" s="68"/>
      <c r="CI24" s="68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DE24" s="67"/>
      <c r="DF24" s="67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EC24" s="67"/>
      <c r="ED24" s="67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</row>
    <row r="25" spans="2:147" x14ac:dyDescent="0.25">
      <c r="B25" s="68"/>
      <c r="C25" s="68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68"/>
      <c r="S25" s="68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H25" s="68"/>
      <c r="AI25" s="68"/>
      <c r="AJ25" s="2" t="s">
        <v>50</v>
      </c>
      <c r="AK25" s="2"/>
      <c r="AL25" s="2" t="s">
        <v>137</v>
      </c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Y25" s="68"/>
      <c r="AZ25" s="68"/>
      <c r="BA25" s="2"/>
      <c r="BB25" s="2" t="s">
        <v>629</v>
      </c>
      <c r="BC25" s="2" t="s">
        <v>629</v>
      </c>
      <c r="BD25" s="2" t="s">
        <v>629</v>
      </c>
      <c r="BE25" s="2"/>
      <c r="BF25" s="2"/>
      <c r="BG25" s="2"/>
      <c r="BH25" s="2"/>
      <c r="BI25" s="2"/>
      <c r="BJ25" s="2"/>
      <c r="BK25" s="2"/>
      <c r="BL25" s="2"/>
      <c r="BM25" s="2"/>
      <c r="BO25" s="67"/>
      <c r="BP25" s="67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H25" s="67"/>
      <c r="CI25" s="67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DE25" s="68"/>
      <c r="DF25" s="68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EC25" s="68"/>
      <c r="ED25" s="68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</row>
    <row r="26" spans="2:147" x14ac:dyDescent="0.25">
      <c r="B26" s="67"/>
      <c r="C26" s="67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R26" s="67"/>
      <c r="S26" s="67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H26" s="67" t="s">
        <v>108</v>
      </c>
      <c r="AI26" s="67"/>
      <c r="AJ26" s="2">
        <v>250</v>
      </c>
      <c r="AK26" s="2"/>
      <c r="AL26" s="2">
        <v>2500</v>
      </c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Y26" s="67"/>
      <c r="AZ26" s="67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O26" s="68"/>
      <c r="BP26" s="68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H26" s="68"/>
      <c r="CI26" s="68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DE26" s="67"/>
      <c r="DF26" s="67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EC26" s="67"/>
      <c r="ED26" s="67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</row>
    <row r="27" spans="2:147" x14ac:dyDescent="0.25">
      <c r="B27" s="68"/>
      <c r="C27" s="68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R27" s="68"/>
      <c r="S27" s="68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H27" s="68"/>
      <c r="AI27" s="68"/>
      <c r="AJ27" s="2" t="s">
        <v>109</v>
      </c>
      <c r="AK27" s="2"/>
      <c r="AL27" s="2" t="s">
        <v>109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Y27" s="68"/>
      <c r="AZ27" s="68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O27" s="67"/>
      <c r="BP27" s="67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H27" s="67"/>
      <c r="CI27" s="67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DE27" s="68"/>
      <c r="DF27" s="68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EC27" s="68"/>
      <c r="ED27" s="68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</row>
    <row r="28" spans="2:147" x14ac:dyDescent="0.25">
      <c r="B28" s="67"/>
      <c r="C28" s="67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R28" s="67"/>
      <c r="S28" s="67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H28" s="67" t="s">
        <v>110</v>
      </c>
      <c r="AI28" s="67"/>
      <c r="AJ28" s="2">
        <v>250</v>
      </c>
      <c r="AK28" s="2"/>
      <c r="AL28" s="2">
        <v>2500</v>
      </c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Y28" s="67"/>
      <c r="AZ28" s="67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O28" s="68"/>
      <c r="BP28" s="68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H28" s="68"/>
      <c r="CI28" s="68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DE28" s="67"/>
      <c r="DF28" s="67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EC28" s="67"/>
      <c r="ED28" s="67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</row>
    <row r="29" spans="2:147" x14ac:dyDescent="0.25">
      <c r="B29" s="68"/>
      <c r="C29" s="68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R29" s="68"/>
      <c r="S29" s="68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H29" s="68"/>
      <c r="AI29" s="68"/>
      <c r="AJ29" s="2" t="s">
        <v>111</v>
      </c>
      <c r="AK29" s="2"/>
      <c r="AL29" s="2" t="s">
        <v>111</v>
      </c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Y29" s="68"/>
      <c r="AZ29" s="68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O29" s="67"/>
      <c r="BP29" s="67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H29" s="67"/>
      <c r="CI29" s="67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DE29" s="68"/>
      <c r="DF29" s="68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EC29" s="68"/>
      <c r="ED29" s="68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</row>
    <row r="30" spans="2:147" x14ac:dyDescent="0.25">
      <c r="B30" s="67"/>
      <c r="C30" s="6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R30" s="67"/>
      <c r="S30" s="67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H30" s="67" t="s">
        <v>120</v>
      </c>
      <c r="AI30" s="67"/>
      <c r="AJ30" s="2">
        <v>250</v>
      </c>
      <c r="AK30" s="2"/>
      <c r="AL30" s="2">
        <v>1250</v>
      </c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Y30" s="67"/>
      <c r="AZ30" s="67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O30" s="68"/>
      <c r="BP30" s="68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H30" s="68"/>
      <c r="CI30" s="68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DE30" s="67"/>
      <c r="DF30" s="67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EC30" s="67"/>
      <c r="ED30" s="67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</row>
    <row r="31" spans="2:147" x14ac:dyDescent="0.25">
      <c r="B31" s="68"/>
      <c r="C31" s="68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68"/>
      <c r="S31" s="68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H31" s="68"/>
      <c r="AI31" s="68"/>
      <c r="AJ31" s="2" t="s">
        <v>121</v>
      </c>
      <c r="AK31" s="2"/>
      <c r="AL31" s="2" t="s">
        <v>121</v>
      </c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Y31" s="68"/>
      <c r="AZ31" s="68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O31" s="67"/>
      <c r="BP31" s="67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DE31" s="68"/>
      <c r="DF31" s="68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EC31" s="68"/>
      <c r="ED31" s="68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</row>
    <row r="32" spans="2:147" x14ac:dyDescent="0.25">
      <c r="B32" s="67"/>
      <c r="C32" s="6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R32" s="67"/>
      <c r="S32" s="67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H32" s="67" t="s">
        <v>153</v>
      </c>
      <c r="AI32" s="67"/>
      <c r="AJ32" s="2">
        <v>250</v>
      </c>
      <c r="AK32" s="2">
        <v>1500</v>
      </c>
      <c r="AL32" s="2">
        <v>2500</v>
      </c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Y32" s="67"/>
      <c r="AZ32" s="67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O32" s="68"/>
      <c r="BP32" s="68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DE32" s="67"/>
      <c r="DF32" s="67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EC32" s="67"/>
      <c r="ED32" s="67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</row>
    <row r="33" spans="2:147" x14ac:dyDescent="0.25">
      <c r="B33" s="68"/>
      <c r="C33" s="68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R33" s="68"/>
      <c r="S33" s="68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H33" s="68"/>
      <c r="AI33" s="68"/>
      <c r="AJ33" s="2" t="s">
        <v>134</v>
      </c>
      <c r="AK33" s="2" t="s">
        <v>154</v>
      </c>
      <c r="AL33" s="2" t="s">
        <v>134</v>
      </c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Y33" s="68"/>
      <c r="AZ33" s="68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O33" s="67"/>
      <c r="BP33" s="67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DE33" s="68"/>
      <c r="DF33" s="68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EC33" s="68"/>
      <c r="ED33" s="68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</row>
    <row r="34" spans="2:147" x14ac:dyDescent="0.25">
      <c r="B34" s="67"/>
      <c r="C34" s="6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R34" s="67"/>
      <c r="S34" s="67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H34" s="67" t="s">
        <v>460</v>
      </c>
      <c r="AI34" s="67"/>
      <c r="AJ34" s="2">
        <v>250</v>
      </c>
      <c r="AK34" s="2"/>
      <c r="AL34" s="2">
        <v>2500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Y34" s="67"/>
      <c r="AZ34" s="67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O34" s="68"/>
      <c r="BP34" s="68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DE34" s="67"/>
      <c r="DF34" s="67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EC34" s="67"/>
      <c r="ED34" s="67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</row>
    <row r="35" spans="2:147" x14ac:dyDescent="0.25">
      <c r="B35" s="68"/>
      <c r="C35" s="68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R35" s="68"/>
      <c r="S35" s="68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H35" s="68"/>
      <c r="AI35" s="68"/>
      <c r="AJ35" s="2" t="s">
        <v>138</v>
      </c>
      <c r="AK35" s="2"/>
      <c r="AL35" s="2" t="s">
        <v>138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Y35" s="68"/>
      <c r="AZ35" s="68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O35" s="67"/>
      <c r="BP35" s="67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DE35" s="68"/>
      <c r="DF35" s="68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EC35" s="68"/>
      <c r="ED35" s="68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</row>
    <row r="36" spans="2:147" x14ac:dyDescent="0.25">
      <c r="B36" s="67"/>
      <c r="C36" s="6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R36" s="67"/>
      <c r="S36" s="67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H36" s="67" t="s">
        <v>140</v>
      </c>
      <c r="AI36" s="67"/>
      <c r="AJ36" s="2">
        <v>250</v>
      </c>
      <c r="AK36" s="2"/>
      <c r="AL36" s="2">
        <v>2500</v>
      </c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Y36" s="67"/>
      <c r="AZ36" s="67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O36" s="68"/>
      <c r="BP36" s="68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DE36" s="67"/>
      <c r="DF36" s="67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</row>
    <row r="37" spans="2:147" x14ac:dyDescent="0.25">
      <c r="B37" s="68"/>
      <c r="C37" s="68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R37" s="68"/>
      <c r="S37" s="68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H37" s="68"/>
      <c r="AI37" s="68"/>
      <c r="AJ37" s="2" t="s">
        <v>141</v>
      </c>
      <c r="AK37" s="2"/>
      <c r="AL37" s="2" t="s">
        <v>141</v>
      </c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Y37" s="68"/>
      <c r="AZ37" s="68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O37" s="67"/>
      <c r="BP37" s="67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DE37" s="68"/>
      <c r="DF37" s="68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</row>
    <row r="38" spans="2:147" x14ac:dyDescent="0.25">
      <c r="B38" s="67"/>
      <c r="C38" s="6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R38" s="67"/>
      <c r="S38" s="67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H38" s="67" t="s">
        <v>152</v>
      </c>
      <c r="AI38" s="67"/>
      <c r="AJ38" s="2">
        <v>250</v>
      </c>
      <c r="AK38" s="2"/>
      <c r="AL38" s="2">
        <v>2500</v>
      </c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Y38" s="67"/>
      <c r="AZ38" s="67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O38" s="68"/>
      <c r="BP38" s="68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DE38" s="67"/>
      <c r="DF38" s="67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</row>
    <row r="39" spans="2:147" x14ac:dyDescent="0.25">
      <c r="B39" s="68"/>
      <c r="C39" s="68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R39" s="68"/>
      <c r="S39" s="68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H39" s="68"/>
      <c r="AI39" s="68"/>
      <c r="AJ39" s="2" t="s">
        <v>142</v>
      </c>
      <c r="AK39" s="2"/>
      <c r="AL39" s="2" t="s">
        <v>142</v>
      </c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Y39" s="68"/>
      <c r="AZ39" s="68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O39" s="67"/>
      <c r="BP39" s="67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DE39" s="68"/>
      <c r="DF39" s="68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</row>
    <row r="40" spans="2:147" x14ac:dyDescent="0.25">
      <c r="B40" s="67"/>
      <c r="C40" s="67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R40" s="67"/>
      <c r="S40" s="67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H40" s="67" t="s">
        <v>143</v>
      </c>
      <c r="AI40" s="67"/>
      <c r="AJ40" s="2">
        <v>250</v>
      </c>
      <c r="AK40" s="2"/>
      <c r="AL40" s="2">
        <v>2500</v>
      </c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Y40" s="67"/>
      <c r="AZ40" s="67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O40" s="68"/>
      <c r="BP40" s="68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DE40" s="67"/>
      <c r="DF40" s="67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</row>
    <row r="41" spans="2:147" x14ac:dyDescent="0.25">
      <c r="B41" s="68"/>
      <c r="C41" s="68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R41" s="68"/>
      <c r="S41" s="68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H41" s="68"/>
      <c r="AI41" s="68"/>
      <c r="AJ41" s="2" t="s">
        <v>144</v>
      </c>
      <c r="AK41" s="2"/>
      <c r="AL41" s="2" t="s">
        <v>144</v>
      </c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Y41" s="68"/>
      <c r="AZ41" s="68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O41" s="67"/>
      <c r="BP41" s="67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DE41" s="68"/>
      <c r="DF41" s="68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</row>
    <row r="42" spans="2:147" x14ac:dyDescent="0.25">
      <c r="B42" s="67"/>
      <c r="C42" s="67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R42" s="67"/>
      <c r="S42" s="67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H42" s="83" t="s">
        <v>145</v>
      </c>
      <c r="AI42" s="67"/>
      <c r="AJ42" s="2">
        <v>250</v>
      </c>
      <c r="AK42" s="2"/>
      <c r="AL42" s="2">
        <v>2500</v>
      </c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Y42" s="67"/>
      <c r="AZ42" s="67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O42" s="68"/>
      <c r="BP42" s="68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DE42" s="67"/>
      <c r="DF42" s="67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</row>
    <row r="43" spans="2:147" x14ac:dyDescent="0.25">
      <c r="B43" s="68"/>
      <c r="C43" s="68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R43" s="68"/>
      <c r="S43" s="68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H43" s="84"/>
      <c r="AI43" s="68"/>
      <c r="AJ43" s="2" t="s">
        <v>146</v>
      </c>
      <c r="AK43" s="2"/>
      <c r="AL43" s="2" t="s">
        <v>146</v>
      </c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Y43" s="68"/>
      <c r="AZ43" s="68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O43" s="67"/>
      <c r="BP43" s="67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DE43" s="68"/>
      <c r="DF43" s="68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</row>
    <row r="44" spans="2:147" x14ac:dyDescent="0.25">
      <c r="B44" s="67"/>
      <c r="C44" s="67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R44" s="67"/>
      <c r="S44" s="67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H44" s="67" t="s">
        <v>268</v>
      </c>
      <c r="AI44" s="67"/>
      <c r="AJ44" s="2">
        <v>250</v>
      </c>
      <c r="AK44" s="2"/>
      <c r="AL44" s="2">
        <v>2500</v>
      </c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Y44" s="67"/>
      <c r="AZ44" s="67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O44" s="68"/>
      <c r="BP44" s="68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DE44" s="67"/>
      <c r="DF44" s="67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</row>
    <row r="45" spans="2:147" x14ac:dyDescent="0.25">
      <c r="B45" s="68"/>
      <c r="C45" s="68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R45" s="68"/>
      <c r="S45" s="68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H45" s="68"/>
      <c r="AI45" s="68"/>
      <c r="AJ45" s="2" t="s">
        <v>269</v>
      </c>
      <c r="AK45" s="2"/>
      <c r="AL45" s="2" t="s">
        <v>269</v>
      </c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Y45" s="68"/>
      <c r="AZ45" s="68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O45" s="67"/>
      <c r="BP45" s="67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DE45" s="68"/>
      <c r="DF45" s="68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</row>
    <row r="46" spans="2:147" x14ac:dyDescent="0.25">
      <c r="B46" s="67"/>
      <c r="C46" s="67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R46" s="67"/>
      <c r="S46" s="67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H46" s="67" t="s">
        <v>270</v>
      </c>
      <c r="AI46" s="67" t="s">
        <v>271</v>
      </c>
      <c r="AJ46" s="2">
        <v>250</v>
      </c>
      <c r="AK46" s="2"/>
      <c r="AL46" s="2">
        <v>2500</v>
      </c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Y46" s="67"/>
      <c r="AZ46" s="67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O46" s="68"/>
      <c r="BP46" s="68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DE46" s="67"/>
      <c r="DF46" s="67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</row>
    <row r="47" spans="2:147" x14ac:dyDescent="0.25">
      <c r="B47" s="68"/>
      <c r="C47" s="68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R47" s="68"/>
      <c r="S47" s="68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H47" s="68"/>
      <c r="AI47" s="68"/>
      <c r="AJ47" s="2" t="s">
        <v>272</v>
      </c>
      <c r="AK47" s="2"/>
      <c r="AL47" s="2" t="s">
        <v>272</v>
      </c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Y47" s="68"/>
      <c r="AZ47" s="68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DE47" s="68"/>
      <c r="DF47" s="68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</row>
    <row r="48" spans="2:147" x14ac:dyDescent="0.25">
      <c r="AH48" s="67" t="s">
        <v>489</v>
      </c>
      <c r="AI48" s="67" t="s">
        <v>490</v>
      </c>
      <c r="AJ48" s="2">
        <v>250</v>
      </c>
      <c r="AK48" s="2"/>
      <c r="AL48" s="2">
        <v>2500</v>
      </c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</row>
    <row r="49" spans="34:49" x14ac:dyDescent="0.25">
      <c r="AH49" s="68"/>
      <c r="AI49" s="68"/>
      <c r="AJ49" s="2" t="s">
        <v>491</v>
      </c>
      <c r="AK49" s="2"/>
      <c r="AL49" s="2" t="s">
        <v>491</v>
      </c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</row>
    <row r="50" spans="34:49" x14ac:dyDescent="0.25">
      <c r="AH50" s="67" t="s">
        <v>637</v>
      </c>
      <c r="AI50" s="67" t="s">
        <v>639</v>
      </c>
      <c r="AJ50" s="2">
        <v>250</v>
      </c>
      <c r="AK50" s="2"/>
      <c r="AL50" s="2">
        <v>2500</v>
      </c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</row>
    <row r="51" spans="34:49" x14ac:dyDescent="0.25">
      <c r="AH51" s="68"/>
      <c r="AI51" s="68"/>
      <c r="AJ51" s="2" t="s">
        <v>638</v>
      </c>
      <c r="AK51" s="2"/>
      <c r="AL51" s="2" t="s">
        <v>638</v>
      </c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</row>
    <row r="52" spans="34:49" x14ac:dyDescent="0.25">
      <c r="AH52" s="67"/>
      <c r="AI52" s="67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</row>
    <row r="53" spans="34:49" x14ac:dyDescent="0.25">
      <c r="AH53" s="68"/>
      <c r="AI53" s="68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</row>
    <row r="54" spans="34:49" x14ac:dyDescent="0.25">
      <c r="AH54" s="67"/>
      <c r="AI54" s="67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</row>
    <row r="55" spans="34:49" x14ac:dyDescent="0.25">
      <c r="AH55" s="68"/>
      <c r="AI55" s="68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</row>
    <row r="56" spans="34:49" x14ac:dyDescent="0.25">
      <c r="AH56" s="67"/>
      <c r="AI56" s="67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</row>
    <row r="57" spans="34:49" x14ac:dyDescent="0.25">
      <c r="AH57" s="68"/>
      <c r="AI57" s="68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</row>
    <row r="58" spans="34:49" x14ac:dyDescent="0.25">
      <c r="AH58" s="67"/>
      <c r="AI58" s="67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</row>
    <row r="59" spans="34:49" x14ac:dyDescent="0.25">
      <c r="AH59" s="68"/>
      <c r="AI59" s="68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</row>
    <row r="60" spans="34:49" x14ac:dyDescent="0.25">
      <c r="AH60" s="67"/>
      <c r="AI60" s="67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</row>
    <row r="61" spans="34:49" x14ac:dyDescent="0.25">
      <c r="AH61" s="68"/>
      <c r="AI61" s="68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</row>
    <row r="62" spans="34:49" x14ac:dyDescent="0.25">
      <c r="AH62" s="67"/>
      <c r="AI62" s="67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</row>
    <row r="63" spans="34:49" x14ac:dyDescent="0.25">
      <c r="AH63" s="68"/>
      <c r="AI63" s="68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</row>
    <row r="64" spans="34:49" x14ac:dyDescent="0.25">
      <c r="AH64" s="67"/>
      <c r="AI64" s="67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</row>
    <row r="65" spans="34:49" x14ac:dyDescent="0.25">
      <c r="AH65" s="68"/>
      <c r="AI65" s="68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</row>
  </sheetData>
  <mergeCells count="318">
    <mergeCell ref="AH58:AH59"/>
    <mergeCell ref="AI58:AI59"/>
    <mergeCell ref="AH60:AH61"/>
    <mergeCell ref="AI60:AI61"/>
    <mergeCell ref="AH62:AH63"/>
    <mergeCell ref="AI62:AI63"/>
    <mergeCell ref="AH64:AH65"/>
    <mergeCell ref="AI64:AI65"/>
    <mergeCell ref="AH48:AH49"/>
    <mergeCell ref="AI48:AI49"/>
    <mergeCell ref="AH50:AH51"/>
    <mergeCell ref="AI50:AI51"/>
    <mergeCell ref="AH52:AH53"/>
    <mergeCell ref="AI52:AI53"/>
    <mergeCell ref="AH54:AH55"/>
    <mergeCell ref="AI54:AI55"/>
    <mergeCell ref="AH56:AH57"/>
    <mergeCell ref="AI56:AI57"/>
    <mergeCell ref="CH21:CH22"/>
    <mergeCell ref="CI21:CI22"/>
    <mergeCell ref="CH23:CH24"/>
    <mergeCell ref="CI23:CI24"/>
    <mergeCell ref="CH25:CH26"/>
    <mergeCell ref="CI25:CI26"/>
    <mergeCell ref="CH27:CH28"/>
    <mergeCell ref="CI27:CI28"/>
    <mergeCell ref="CH29:CH30"/>
    <mergeCell ref="CI29:CI30"/>
    <mergeCell ref="CH11:CH12"/>
    <mergeCell ref="CI11:CI12"/>
    <mergeCell ref="CH13:CH14"/>
    <mergeCell ref="CI13:CI14"/>
    <mergeCell ref="CH15:CH16"/>
    <mergeCell ref="CI15:CI16"/>
    <mergeCell ref="CH17:CH18"/>
    <mergeCell ref="CI17:CI18"/>
    <mergeCell ref="CH19:CH20"/>
    <mergeCell ref="CI19:CI20"/>
    <mergeCell ref="CH7:CH8"/>
    <mergeCell ref="CI7:CI8"/>
    <mergeCell ref="CH9:CH10"/>
    <mergeCell ref="CI9:CI10"/>
    <mergeCell ref="CM3:CR4"/>
    <mergeCell ref="BO45:BO46"/>
    <mergeCell ref="BP45:BP46"/>
    <mergeCell ref="BO35:BO36"/>
    <mergeCell ref="BP35:BP36"/>
    <mergeCell ref="BO37:BO38"/>
    <mergeCell ref="BP37:BP38"/>
    <mergeCell ref="BO39:BO40"/>
    <mergeCell ref="BP39:BP40"/>
    <mergeCell ref="BO41:BO42"/>
    <mergeCell ref="BP41:BP42"/>
    <mergeCell ref="BO43:BO44"/>
    <mergeCell ref="BP43:BP44"/>
    <mergeCell ref="BO25:BO26"/>
    <mergeCell ref="BP25:BP26"/>
    <mergeCell ref="BO27:BO28"/>
    <mergeCell ref="BP27:BP28"/>
    <mergeCell ref="BO29:BO30"/>
    <mergeCell ref="BP29:BP30"/>
    <mergeCell ref="BO31:BO32"/>
    <mergeCell ref="BP31:BP32"/>
    <mergeCell ref="BO33:BO34"/>
    <mergeCell ref="BP33:BP34"/>
    <mergeCell ref="BO15:BO16"/>
    <mergeCell ref="BP15:BP16"/>
    <mergeCell ref="BO17:BO18"/>
    <mergeCell ref="BP17:BP18"/>
    <mergeCell ref="BO19:BO20"/>
    <mergeCell ref="BP19:BP20"/>
    <mergeCell ref="BO21:BO22"/>
    <mergeCell ref="BP21:BP22"/>
    <mergeCell ref="BO23:BO24"/>
    <mergeCell ref="BP23:BP24"/>
    <mergeCell ref="BQ2:BV3"/>
    <mergeCell ref="BO7:BO8"/>
    <mergeCell ref="BP7:BP8"/>
    <mergeCell ref="BO9:BO10"/>
    <mergeCell ref="BP9:BP10"/>
    <mergeCell ref="BO11:BO12"/>
    <mergeCell ref="BP11:BP12"/>
    <mergeCell ref="BO13:BO14"/>
    <mergeCell ref="BP13:BP14"/>
    <mergeCell ref="B34:B35"/>
    <mergeCell ref="C34:C35"/>
    <mergeCell ref="B36:B37"/>
    <mergeCell ref="C36:C37"/>
    <mergeCell ref="B44:B45"/>
    <mergeCell ref="C44:C45"/>
    <mergeCell ref="B46:B47"/>
    <mergeCell ref="C46:C47"/>
    <mergeCell ref="B38:B39"/>
    <mergeCell ref="C38:C39"/>
    <mergeCell ref="B40:B41"/>
    <mergeCell ref="C40:C41"/>
    <mergeCell ref="B42:B43"/>
    <mergeCell ref="C42:C43"/>
    <mergeCell ref="B24:B25"/>
    <mergeCell ref="C24:C25"/>
    <mergeCell ref="B26:B27"/>
    <mergeCell ref="C26:C27"/>
    <mergeCell ref="B28:B29"/>
    <mergeCell ref="C28:C29"/>
    <mergeCell ref="B30:B31"/>
    <mergeCell ref="C30:C31"/>
    <mergeCell ref="B32:B33"/>
    <mergeCell ref="C32:C33"/>
    <mergeCell ref="B14:B15"/>
    <mergeCell ref="C14:C15"/>
    <mergeCell ref="B16:B17"/>
    <mergeCell ref="C16:C17"/>
    <mergeCell ref="B18:B19"/>
    <mergeCell ref="C18:C19"/>
    <mergeCell ref="B20:B21"/>
    <mergeCell ref="C20:C21"/>
    <mergeCell ref="B22:B23"/>
    <mergeCell ref="C22:C23"/>
    <mergeCell ref="B12:B13"/>
    <mergeCell ref="C12:C13"/>
    <mergeCell ref="U3:Z4"/>
    <mergeCell ref="R8:R9"/>
    <mergeCell ref="S8:S9"/>
    <mergeCell ref="R10:R11"/>
    <mergeCell ref="S10:S11"/>
    <mergeCell ref="R12:R13"/>
    <mergeCell ref="S12:S13"/>
    <mergeCell ref="E3:J4"/>
    <mergeCell ref="B8:B9"/>
    <mergeCell ref="C8:C9"/>
    <mergeCell ref="B10:B11"/>
    <mergeCell ref="C10:C11"/>
    <mergeCell ref="R20:R21"/>
    <mergeCell ref="S20:S21"/>
    <mergeCell ref="R22:R23"/>
    <mergeCell ref="S22:S23"/>
    <mergeCell ref="R24:R25"/>
    <mergeCell ref="S24:S25"/>
    <mergeCell ref="R14:R15"/>
    <mergeCell ref="S14:S15"/>
    <mergeCell ref="R16:R17"/>
    <mergeCell ref="S16:S17"/>
    <mergeCell ref="R18:R19"/>
    <mergeCell ref="S18:S19"/>
    <mergeCell ref="R34:R35"/>
    <mergeCell ref="S34:S35"/>
    <mergeCell ref="R36:R37"/>
    <mergeCell ref="S36:S37"/>
    <mergeCell ref="R26:R27"/>
    <mergeCell ref="S26:S27"/>
    <mergeCell ref="R28:R29"/>
    <mergeCell ref="S28:S29"/>
    <mergeCell ref="R30:R31"/>
    <mergeCell ref="S30:S31"/>
    <mergeCell ref="R44:R45"/>
    <mergeCell ref="S44:S45"/>
    <mergeCell ref="R46:R47"/>
    <mergeCell ref="S46:S47"/>
    <mergeCell ref="AK3:AP4"/>
    <mergeCell ref="AH8:AH9"/>
    <mergeCell ref="AI8:AI9"/>
    <mergeCell ref="AH10:AH11"/>
    <mergeCell ref="AI10:AI11"/>
    <mergeCell ref="AH12:AH13"/>
    <mergeCell ref="AI12:AI13"/>
    <mergeCell ref="AH14:AH15"/>
    <mergeCell ref="AI14:AI15"/>
    <mergeCell ref="AH16:AH17"/>
    <mergeCell ref="AI16:AI17"/>
    <mergeCell ref="AH18:AH19"/>
    <mergeCell ref="R38:R39"/>
    <mergeCell ref="S38:S39"/>
    <mergeCell ref="R40:R41"/>
    <mergeCell ref="S40:S41"/>
    <mergeCell ref="R42:R43"/>
    <mergeCell ref="S42:S43"/>
    <mergeCell ref="R32:R33"/>
    <mergeCell ref="S32:S33"/>
    <mergeCell ref="AH46:AH47"/>
    <mergeCell ref="AI46:AI47"/>
    <mergeCell ref="AH36:AH37"/>
    <mergeCell ref="AI36:AI37"/>
    <mergeCell ref="AH38:AH39"/>
    <mergeCell ref="AI38:AI39"/>
    <mergeCell ref="AH40:AH41"/>
    <mergeCell ref="AI40:AI41"/>
    <mergeCell ref="AH30:AH31"/>
    <mergeCell ref="AI30:AI31"/>
    <mergeCell ref="AH32:AH33"/>
    <mergeCell ref="AI32:AI33"/>
    <mergeCell ref="AH34:AH35"/>
    <mergeCell ref="AI34:AI35"/>
    <mergeCell ref="AH44:AH45"/>
    <mergeCell ref="AI44:AI45"/>
    <mergeCell ref="AI24:AI25"/>
    <mergeCell ref="AH26:AH27"/>
    <mergeCell ref="AI26:AI27"/>
    <mergeCell ref="AH28:AH29"/>
    <mergeCell ref="AI28:AI29"/>
    <mergeCell ref="AI18:AI19"/>
    <mergeCell ref="AH20:AH21"/>
    <mergeCell ref="AI20:AI21"/>
    <mergeCell ref="AH22:AH23"/>
    <mergeCell ref="AI22:AI23"/>
    <mergeCell ref="AY30:AY31"/>
    <mergeCell ref="AZ30:AZ31"/>
    <mergeCell ref="BA5:BF6"/>
    <mergeCell ref="AY8:AY9"/>
    <mergeCell ref="AZ8:AZ9"/>
    <mergeCell ref="AY10:AY11"/>
    <mergeCell ref="AZ10:AZ11"/>
    <mergeCell ref="AH42:AH43"/>
    <mergeCell ref="AI42:AI43"/>
    <mergeCell ref="AY18:AY19"/>
    <mergeCell ref="AZ18:AZ19"/>
    <mergeCell ref="AY20:AY21"/>
    <mergeCell ref="AZ20:AZ21"/>
    <mergeCell ref="AY28:AY29"/>
    <mergeCell ref="AZ28:AZ29"/>
    <mergeCell ref="AY22:AY23"/>
    <mergeCell ref="AZ22:AZ23"/>
    <mergeCell ref="AY12:AY13"/>
    <mergeCell ref="AZ12:AZ13"/>
    <mergeCell ref="AY14:AY15"/>
    <mergeCell ref="AZ14:AZ15"/>
    <mergeCell ref="AY16:AY17"/>
    <mergeCell ref="AZ16:AZ17"/>
    <mergeCell ref="AH24:AH25"/>
    <mergeCell ref="DE24:DE25"/>
    <mergeCell ref="DE26:DE27"/>
    <mergeCell ref="DE28:DE29"/>
    <mergeCell ref="DG4:DL5"/>
    <mergeCell ref="AY42:AY43"/>
    <mergeCell ref="AZ42:AZ43"/>
    <mergeCell ref="AY44:AY45"/>
    <mergeCell ref="AZ44:AZ45"/>
    <mergeCell ref="AY46:AY47"/>
    <mergeCell ref="AZ46:AZ47"/>
    <mergeCell ref="AY36:AY37"/>
    <mergeCell ref="AZ36:AZ37"/>
    <mergeCell ref="AY38:AY39"/>
    <mergeCell ref="AZ38:AZ39"/>
    <mergeCell ref="AY40:AY41"/>
    <mergeCell ref="AZ40:AZ41"/>
    <mergeCell ref="AY32:AY33"/>
    <mergeCell ref="AZ32:AZ33"/>
    <mergeCell ref="AY34:AY35"/>
    <mergeCell ref="AZ34:AZ35"/>
    <mergeCell ref="AY24:AY25"/>
    <mergeCell ref="AZ24:AZ25"/>
    <mergeCell ref="AY26:AY27"/>
    <mergeCell ref="AZ26:AZ27"/>
    <mergeCell ref="DE40:DE41"/>
    <mergeCell ref="DE42:DE43"/>
    <mergeCell ref="DE44:DE45"/>
    <mergeCell ref="DE46:DE47"/>
    <mergeCell ref="DE30:DE31"/>
    <mergeCell ref="DE32:DE33"/>
    <mergeCell ref="DE34:DE35"/>
    <mergeCell ref="DE36:DE37"/>
    <mergeCell ref="DE38:DE39"/>
    <mergeCell ref="DE8:DE9"/>
    <mergeCell ref="DF8:DF9"/>
    <mergeCell ref="DF10:DF11"/>
    <mergeCell ref="DF12:DF13"/>
    <mergeCell ref="DF14:DF15"/>
    <mergeCell ref="DF16:DF17"/>
    <mergeCell ref="DF18:DF19"/>
    <mergeCell ref="DF20:DF21"/>
    <mergeCell ref="DF22:DF23"/>
    <mergeCell ref="DE10:DE11"/>
    <mergeCell ref="DE12:DE13"/>
    <mergeCell ref="DE14:DE15"/>
    <mergeCell ref="DE16:DE17"/>
    <mergeCell ref="DE18:DE19"/>
    <mergeCell ref="DE20:DE21"/>
    <mergeCell ref="DE22:DE23"/>
    <mergeCell ref="EC8:EC9"/>
    <mergeCell ref="ED8:ED9"/>
    <mergeCell ref="EC10:EC11"/>
    <mergeCell ref="ED10:ED11"/>
    <mergeCell ref="DF42:DF43"/>
    <mergeCell ref="DF44:DF45"/>
    <mergeCell ref="DF46:DF47"/>
    <mergeCell ref="EF4:EK5"/>
    <mergeCell ref="DF24:DF25"/>
    <mergeCell ref="DF26:DF27"/>
    <mergeCell ref="DF28:DF29"/>
    <mergeCell ref="DF30:DF31"/>
    <mergeCell ref="DF32:DF33"/>
    <mergeCell ref="DF34:DF35"/>
    <mergeCell ref="DF36:DF37"/>
    <mergeCell ref="DF38:DF39"/>
    <mergeCell ref="DF40:DF41"/>
    <mergeCell ref="EC12:EC13"/>
    <mergeCell ref="ED12:ED13"/>
    <mergeCell ref="EC14:EC15"/>
    <mergeCell ref="ED14:ED15"/>
    <mergeCell ref="EC16:EC17"/>
    <mergeCell ref="ED16:ED17"/>
    <mergeCell ref="EC18:EC19"/>
    <mergeCell ref="ED18:ED19"/>
    <mergeCell ref="EC20:EC21"/>
    <mergeCell ref="ED20:ED21"/>
    <mergeCell ref="EC34:EC35"/>
    <mergeCell ref="ED34:ED35"/>
    <mergeCell ref="EC22:EC23"/>
    <mergeCell ref="ED22:ED23"/>
    <mergeCell ref="EC24:EC25"/>
    <mergeCell ref="ED24:ED25"/>
    <mergeCell ref="EC26:EC27"/>
    <mergeCell ref="ED26:ED27"/>
    <mergeCell ref="EC28:EC29"/>
    <mergeCell ref="ED28:ED29"/>
    <mergeCell ref="EC30:EC31"/>
    <mergeCell ref="ED30:ED31"/>
    <mergeCell ref="EC32:EC33"/>
    <mergeCell ref="ED32:ED33"/>
  </mergeCells>
  <phoneticPr fontId="7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820B7-E61B-4D52-B8B8-C08E233A0D0D}">
  <dimension ref="B4:F22"/>
  <sheetViews>
    <sheetView rightToLeft="1" zoomScaleNormal="100" workbookViewId="0">
      <selection activeCell="N15" sqref="N13:O15"/>
    </sheetView>
  </sheetViews>
  <sheetFormatPr baseColWidth="10" defaultRowHeight="15" x14ac:dyDescent="0.25"/>
  <cols>
    <col min="3" max="3" width="19" bestFit="1" customWidth="1"/>
    <col min="4" max="5" width="18.7109375" bestFit="1" customWidth="1"/>
  </cols>
  <sheetData>
    <row r="4" spans="2:6" x14ac:dyDescent="0.25">
      <c r="B4" s="3"/>
      <c r="C4" s="3"/>
      <c r="D4" s="3"/>
      <c r="E4" s="3"/>
      <c r="F4" s="3"/>
    </row>
    <row r="5" spans="2:6" ht="21" x14ac:dyDescent="0.35">
      <c r="B5" s="22" t="s">
        <v>60</v>
      </c>
      <c r="C5" s="3" t="s">
        <v>646</v>
      </c>
      <c r="D5" s="3"/>
      <c r="E5" s="3"/>
      <c r="F5" s="3"/>
    </row>
    <row r="6" spans="2:6" ht="21" x14ac:dyDescent="0.35">
      <c r="B6" s="22" t="s">
        <v>68</v>
      </c>
      <c r="C6" s="3" t="s">
        <v>658</v>
      </c>
      <c r="D6" s="3"/>
      <c r="E6" s="3"/>
      <c r="F6" s="3"/>
    </row>
    <row r="7" spans="2:6" ht="21" x14ac:dyDescent="0.35">
      <c r="B7" s="22" t="s">
        <v>77</v>
      </c>
      <c r="C7" s="3" t="s">
        <v>595</v>
      </c>
      <c r="D7" s="3"/>
      <c r="E7" s="3"/>
      <c r="F7" s="3"/>
    </row>
    <row r="8" spans="2:6" ht="21" x14ac:dyDescent="0.35">
      <c r="B8" s="22" t="s">
        <v>540</v>
      </c>
      <c r="C8" s="3" t="s">
        <v>594</v>
      </c>
      <c r="D8" s="3"/>
      <c r="E8" s="3"/>
      <c r="F8" s="3"/>
    </row>
    <row r="9" spans="2:6" ht="21" x14ac:dyDescent="0.35">
      <c r="B9" s="22" t="s">
        <v>554</v>
      </c>
      <c r="C9" s="3" t="s">
        <v>593</v>
      </c>
      <c r="D9" s="3"/>
      <c r="E9" s="3"/>
      <c r="F9" s="3"/>
    </row>
    <row r="10" spans="2:6" x14ac:dyDescent="0.25">
      <c r="B10" s="3" t="s">
        <v>652</v>
      </c>
      <c r="C10" s="3" t="s">
        <v>653</v>
      </c>
      <c r="D10" s="3"/>
      <c r="E10" s="3"/>
      <c r="F10" s="3"/>
    </row>
    <row r="11" spans="2:6" ht="21" x14ac:dyDescent="0.35">
      <c r="B11" s="22" t="s">
        <v>588</v>
      </c>
      <c r="C11" s="3" t="s">
        <v>656</v>
      </c>
      <c r="D11" s="3"/>
      <c r="E11" s="3"/>
      <c r="F11" s="3"/>
    </row>
    <row r="12" spans="2:6" ht="21" x14ac:dyDescent="0.35">
      <c r="B12" s="22" t="s">
        <v>661</v>
      </c>
      <c r="C12" s="3" t="s">
        <v>662</v>
      </c>
      <c r="D12" s="3"/>
      <c r="E12" s="3"/>
      <c r="F12" s="3"/>
    </row>
    <row r="13" spans="2:6" ht="21" x14ac:dyDescent="0.35">
      <c r="B13" s="22" t="s">
        <v>663</v>
      </c>
      <c r="C13" s="3" t="s">
        <v>664</v>
      </c>
      <c r="D13" s="3"/>
      <c r="E13" s="3"/>
      <c r="F13" s="3"/>
    </row>
    <row r="14" spans="2:6" x14ac:dyDescent="0.25">
      <c r="B14" s="3"/>
      <c r="C14" s="3"/>
      <c r="D14" s="3"/>
      <c r="E14" s="3"/>
      <c r="F14" s="3"/>
    </row>
    <row r="15" spans="2:6" x14ac:dyDescent="0.25">
      <c r="B15" s="3"/>
      <c r="C15" s="3"/>
      <c r="D15" s="3"/>
      <c r="E15" s="3"/>
      <c r="F15" s="3"/>
    </row>
    <row r="16" spans="2:6" x14ac:dyDescent="0.25">
      <c r="B16" s="3"/>
      <c r="C16" s="3"/>
      <c r="D16" s="3"/>
      <c r="E16" s="3"/>
      <c r="F16" s="3"/>
    </row>
    <row r="17" spans="2:6" x14ac:dyDescent="0.25">
      <c r="B17" s="3"/>
      <c r="C17" s="3"/>
      <c r="D17" s="3"/>
      <c r="E17" s="3"/>
      <c r="F17" s="3"/>
    </row>
    <row r="18" spans="2:6" x14ac:dyDescent="0.25">
      <c r="B18" s="3"/>
      <c r="C18" s="3"/>
      <c r="D18" s="3"/>
      <c r="E18" s="3"/>
      <c r="F18" s="3"/>
    </row>
    <row r="19" spans="2:6" x14ac:dyDescent="0.25">
      <c r="B19" s="3"/>
      <c r="C19" s="3"/>
      <c r="D19" s="3"/>
      <c r="E19" s="3"/>
      <c r="F19" s="3"/>
    </row>
    <row r="20" spans="2:6" x14ac:dyDescent="0.25">
      <c r="B20" s="3"/>
      <c r="C20" s="3"/>
      <c r="D20" s="3"/>
      <c r="E20" s="3"/>
      <c r="F20" s="3"/>
    </row>
    <row r="21" spans="2:6" x14ac:dyDescent="0.25">
      <c r="B21" s="3"/>
      <c r="C21" s="3"/>
      <c r="D21" s="3"/>
      <c r="E21" s="3"/>
      <c r="F21" s="3"/>
    </row>
    <row r="22" spans="2:6" x14ac:dyDescent="0.25">
      <c r="B22" s="3"/>
      <c r="C22" s="3"/>
      <c r="D22" s="3"/>
      <c r="E22" s="3"/>
      <c r="F22" s="3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28D7F-5892-4EBB-BEEF-77D64B7EE8C2}">
  <dimension ref="B1:FQ35"/>
  <sheetViews>
    <sheetView rightToLeft="1" topLeftCell="AN1" zoomScale="110" zoomScaleNormal="110" workbookViewId="0">
      <selection activeCell="BQ26" sqref="BQ25:BQ26"/>
    </sheetView>
  </sheetViews>
  <sheetFormatPr baseColWidth="10" defaultRowHeight="15" x14ac:dyDescent="0.25"/>
  <cols>
    <col min="2" max="2" width="15.140625" bestFit="1" customWidth="1"/>
    <col min="3" max="3" width="17.42578125" customWidth="1"/>
    <col min="4" max="5" width="18.7109375" bestFit="1" customWidth="1"/>
    <col min="18" max="18" width="16.42578125" customWidth="1"/>
    <col min="19" max="19" width="20" customWidth="1"/>
    <col min="20" max="20" width="18.7109375" bestFit="1" customWidth="1"/>
    <col min="21" max="21" width="20.42578125" customWidth="1"/>
    <col min="34" max="34" width="17.5703125" customWidth="1"/>
    <col min="35" max="35" width="23.7109375" bestFit="1" customWidth="1"/>
    <col min="36" max="37" width="18.7109375" bestFit="1" customWidth="1"/>
    <col min="38" max="38" width="11" bestFit="1" customWidth="1"/>
    <col min="50" max="50" width="15.7109375" customWidth="1"/>
    <col min="51" max="51" width="16.85546875" customWidth="1"/>
    <col min="52" max="52" width="19.140625" customWidth="1"/>
    <col min="53" max="53" width="17.28515625" customWidth="1"/>
    <col min="66" max="66" width="17.7109375" customWidth="1"/>
    <col min="67" max="67" width="17.5703125" customWidth="1"/>
    <col min="68" max="69" width="24.5703125" bestFit="1" customWidth="1"/>
    <col min="83" max="83" width="8.85546875" customWidth="1"/>
    <col min="84" max="84" width="7.7109375" customWidth="1"/>
    <col min="87" max="87" width="11.42578125" customWidth="1"/>
    <col min="88" max="88" width="7.85546875" customWidth="1"/>
    <col min="89" max="89" width="16.140625" customWidth="1"/>
    <col min="90" max="90" width="16.28515625" customWidth="1"/>
    <col min="91" max="91" width="16.85546875" customWidth="1"/>
    <col min="109" max="109" width="22.42578125" customWidth="1"/>
    <col min="110" max="110" width="20.28515625" customWidth="1"/>
    <col min="111" max="111" width="20.85546875" customWidth="1"/>
    <col min="112" max="112" width="18.42578125" customWidth="1"/>
    <col min="113" max="113" width="15.5703125" customWidth="1"/>
    <col min="114" max="114" width="13.85546875" customWidth="1"/>
    <col min="115" max="115" width="14.5703125" customWidth="1"/>
    <col min="116" max="116" width="15" customWidth="1"/>
    <col min="138" max="138" width="8.85546875" customWidth="1"/>
    <col min="139" max="139" width="18.5703125" customWidth="1"/>
    <col min="140" max="140" width="18" customWidth="1"/>
    <col min="141" max="141" width="21" customWidth="1"/>
    <col min="142" max="142" width="18.42578125" customWidth="1"/>
    <col min="158" max="158" width="8.85546875" customWidth="1"/>
    <col min="159" max="159" width="19" customWidth="1"/>
    <col min="160" max="160" width="19.28515625" customWidth="1"/>
    <col min="161" max="161" width="17.28515625" customWidth="1"/>
    <col min="162" max="162" width="19" customWidth="1"/>
    <col min="163" max="163" width="19.28515625" customWidth="1"/>
  </cols>
  <sheetData>
    <row r="1" spans="2:173" ht="30" customHeight="1" x14ac:dyDescent="0.25"/>
    <row r="2" spans="2:173" ht="21.75" customHeight="1" x14ac:dyDescent="0.25">
      <c r="DI2" s="123" t="s">
        <v>228</v>
      </c>
      <c r="DJ2" s="124"/>
      <c r="DK2" s="124"/>
      <c r="DL2" s="124"/>
      <c r="DM2" s="124"/>
      <c r="DN2" s="125"/>
    </row>
    <row r="3" spans="2:173" ht="15" customHeight="1" x14ac:dyDescent="0.25">
      <c r="DI3" s="126"/>
      <c r="DJ3" s="127"/>
      <c r="DK3" s="127"/>
      <c r="DL3" s="127"/>
      <c r="DM3" s="127"/>
      <c r="DN3" s="128"/>
    </row>
    <row r="4" spans="2:173" ht="31.5" customHeight="1" x14ac:dyDescent="0.35">
      <c r="CO4" s="117" t="s">
        <v>227</v>
      </c>
      <c r="CP4" s="118"/>
      <c r="CQ4" s="118"/>
      <c r="CR4" s="118"/>
      <c r="CS4" s="118"/>
      <c r="CT4" s="119"/>
      <c r="DE4" s="7" t="s">
        <v>0</v>
      </c>
      <c r="DF4" s="7" t="s">
        <v>1</v>
      </c>
      <c r="DG4" s="8" t="s">
        <v>2</v>
      </c>
      <c r="DH4" s="7" t="s">
        <v>3</v>
      </c>
      <c r="DI4" s="7" t="s">
        <v>4</v>
      </c>
      <c r="DJ4" s="7" t="s">
        <v>5</v>
      </c>
      <c r="DK4" s="1" t="s">
        <v>6</v>
      </c>
      <c r="DL4" s="7" t="s">
        <v>7</v>
      </c>
      <c r="DM4" s="1" t="s">
        <v>8</v>
      </c>
      <c r="DN4" s="1" t="s">
        <v>9</v>
      </c>
      <c r="DO4" s="1" t="s">
        <v>10</v>
      </c>
      <c r="DP4" s="1" t="s">
        <v>11</v>
      </c>
      <c r="DQ4" s="1" t="s">
        <v>12</v>
      </c>
      <c r="DR4" s="1" t="s">
        <v>13</v>
      </c>
      <c r="DS4" s="1" t="s">
        <v>14</v>
      </c>
      <c r="FF4" s="111"/>
      <c r="FG4" s="112"/>
      <c r="FH4" s="112"/>
      <c r="FI4" s="112"/>
      <c r="FJ4" s="112"/>
      <c r="FK4" s="113"/>
    </row>
    <row r="5" spans="2:173" ht="23.25" customHeight="1" x14ac:dyDescent="0.25">
      <c r="E5" s="93" t="s">
        <v>69</v>
      </c>
      <c r="F5" s="94"/>
      <c r="G5" s="94"/>
      <c r="H5" s="94"/>
      <c r="I5" s="94"/>
      <c r="J5" s="95"/>
      <c r="U5" s="93" t="s">
        <v>73</v>
      </c>
      <c r="V5" s="94"/>
      <c r="W5" s="94"/>
      <c r="X5" s="94"/>
      <c r="Y5" s="94"/>
      <c r="Z5" s="95"/>
      <c r="AK5" s="105" t="s">
        <v>74</v>
      </c>
      <c r="AL5" s="106"/>
      <c r="AM5" s="106"/>
      <c r="AN5" s="106"/>
      <c r="AO5" s="106"/>
      <c r="AP5" s="107"/>
      <c r="BA5" s="105" t="s">
        <v>75</v>
      </c>
      <c r="BB5" s="106"/>
      <c r="BC5" s="106"/>
      <c r="BD5" s="106"/>
      <c r="BE5" s="106"/>
      <c r="BF5" s="107"/>
      <c r="BQ5" s="131" t="s">
        <v>76</v>
      </c>
      <c r="BR5" s="132"/>
      <c r="BS5" s="132"/>
      <c r="BT5" s="132"/>
      <c r="BU5" s="132"/>
      <c r="BV5" s="133"/>
      <c r="CO5" s="120"/>
      <c r="CP5" s="121"/>
      <c r="CQ5" s="121"/>
      <c r="CR5" s="121"/>
      <c r="CS5" s="121"/>
      <c r="CT5" s="122"/>
      <c r="DE5" s="67" t="s">
        <v>526</v>
      </c>
      <c r="DF5" s="67"/>
      <c r="DG5" s="2">
        <v>250</v>
      </c>
      <c r="DH5" s="2">
        <v>1500</v>
      </c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EN5" s="85" t="s">
        <v>229</v>
      </c>
      <c r="EO5" s="86"/>
      <c r="EP5" s="86"/>
      <c r="EQ5" s="86"/>
      <c r="ER5" s="86"/>
      <c r="ES5" s="87"/>
      <c r="FF5" s="114"/>
      <c r="FG5" s="115"/>
      <c r="FH5" s="115"/>
      <c r="FI5" s="115"/>
      <c r="FJ5" s="115"/>
      <c r="FK5" s="116"/>
    </row>
    <row r="6" spans="2:173" ht="21" customHeight="1" x14ac:dyDescent="0.35">
      <c r="E6" s="96"/>
      <c r="F6" s="97"/>
      <c r="G6" s="97"/>
      <c r="H6" s="97"/>
      <c r="I6" s="97"/>
      <c r="J6" s="98"/>
      <c r="U6" s="96"/>
      <c r="V6" s="97"/>
      <c r="W6" s="97"/>
      <c r="X6" s="97"/>
      <c r="Y6" s="97"/>
      <c r="Z6" s="98"/>
      <c r="AK6" s="108"/>
      <c r="AL6" s="109"/>
      <c r="AM6" s="109"/>
      <c r="AN6" s="109"/>
      <c r="AO6" s="109"/>
      <c r="AP6" s="110"/>
      <c r="BA6" s="108"/>
      <c r="BB6" s="109"/>
      <c r="BC6" s="109"/>
      <c r="BD6" s="109"/>
      <c r="BE6" s="109"/>
      <c r="BF6" s="110"/>
      <c r="BQ6" s="134"/>
      <c r="BR6" s="135"/>
      <c r="BS6" s="135"/>
      <c r="BT6" s="135"/>
      <c r="BU6" s="135"/>
      <c r="BV6" s="136"/>
      <c r="CK6" s="23" t="s">
        <v>230</v>
      </c>
      <c r="CL6" s="7" t="s">
        <v>1</v>
      </c>
      <c r="CM6" s="8" t="s">
        <v>2</v>
      </c>
      <c r="CN6" s="1" t="s">
        <v>3</v>
      </c>
      <c r="CO6" s="1" t="s">
        <v>4</v>
      </c>
      <c r="CP6" s="1" t="s">
        <v>5</v>
      </c>
      <c r="CQ6" s="1" t="s">
        <v>6</v>
      </c>
      <c r="CR6" s="1" t="s">
        <v>7</v>
      </c>
      <c r="CS6" s="1" t="s">
        <v>8</v>
      </c>
      <c r="CT6" s="1" t="s">
        <v>9</v>
      </c>
      <c r="CU6" s="1" t="s">
        <v>10</v>
      </c>
      <c r="CV6" s="1" t="s">
        <v>11</v>
      </c>
      <c r="CW6" s="1" t="s">
        <v>12</v>
      </c>
      <c r="CX6" s="1" t="s">
        <v>13</v>
      </c>
      <c r="CY6" s="1" t="s">
        <v>14</v>
      </c>
      <c r="DE6" s="68"/>
      <c r="DF6" s="68"/>
      <c r="DG6" s="2" t="s">
        <v>527</v>
      </c>
      <c r="DH6" s="2" t="s">
        <v>527</v>
      </c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EN6" s="88"/>
      <c r="EO6" s="89"/>
      <c r="EP6" s="89"/>
      <c r="EQ6" s="89"/>
      <c r="ER6" s="89"/>
      <c r="ES6" s="90"/>
      <c r="FC6" s="7"/>
      <c r="FD6" s="7"/>
      <c r="FE6" s="7"/>
      <c r="FF6" s="7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</row>
    <row r="7" spans="2:173" ht="21" customHeight="1" x14ac:dyDescent="0.35">
      <c r="B7" s="29" t="s">
        <v>0</v>
      </c>
      <c r="C7" s="1" t="s">
        <v>1</v>
      </c>
      <c r="D7" s="1" t="s">
        <v>2</v>
      </c>
      <c r="E7" s="22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14</v>
      </c>
      <c r="R7" s="29" t="s">
        <v>0</v>
      </c>
      <c r="S7" s="7" t="s">
        <v>1</v>
      </c>
      <c r="T7" s="1" t="s">
        <v>2</v>
      </c>
      <c r="U7" s="7" t="s">
        <v>3</v>
      </c>
      <c r="V7" s="1" t="s">
        <v>4</v>
      </c>
      <c r="W7" s="1" t="s">
        <v>5</v>
      </c>
      <c r="X7" s="1" t="s">
        <v>6</v>
      </c>
      <c r="Y7" s="1" t="s">
        <v>7</v>
      </c>
      <c r="Z7" s="1" t="s">
        <v>8</v>
      </c>
      <c r="AA7" s="1" t="s">
        <v>9</v>
      </c>
      <c r="AB7" s="1" t="s">
        <v>10</v>
      </c>
      <c r="AC7" s="1" t="s">
        <v>11</v>
      </c>
      <c r="AD7" s="1" t="s">
        <v>12</v>
      </c>
      <c r="AE7" s="1" t="s">
        <v>13</v>
      </c>
      <c r="AF7" s="1" t="s">
        <v>14</v>
      </c>
      <c r="AH7" s="28" t="s">
        <v>0</v>
      </c>
      <c r="AI7" s="7" t="s">
        <v>1</v>
      </c>
      <c r="AJ7" s="1" t="s">
        <v>2</v>
      </c>
      <c r="AK7" s="7" t="s">
        <v>3</v>
      </c>
      <c r="AL7" s="1" t="s">
        <v>4</v>
      </c>
      <c r="AM7" s="1" t="s">
        <v>5</v>
      </c>
      <c r="AN7" s="1" t="s">
        <v>6</v>
      </c>
      <c r="AO7" s="1" t="s">
        <v>7</v>
      </c>
      <c r="AP7" s="1" t="s">
        <v>8</v>
      </c>
      <c r="AQ7" s="1" t="s">
        <v>9</v>
      </c>
      <c r="AR7" s="1" t="s">
        <v>10</v>
      </c>
      <c r="AS7" s="1" t="s">
        <v>11</v>
      </c>
      <c r="AT7" s="1" t="s">
        <v>12</v>
      </c>
      <c r="AU7" s="1" t="s">
        <v>13</v>
      </c>
      <c r="AV7" s="1" t="s">
        <v>14</v>
      </c>
      <c r="AX7" s="27" t="s">
        <v>0</v>
      </c>
      <c r="AY7" s="7" t="s">
        <v>1</v>
      </c>
      <c r="AZ7" s="1" t="s">
        <v>2</v>
      </c>
      <c r="BA7" s="7" t="s">
        <v>3</v>
      </c>
      <c r="BB7" s="1" t="s">
        <v>4</v>
      </c>
      <c r="BC7" s="1" t="s">
        <v>5</v>
      </c>
      <c r="BD7" s="1" t="s">
        <v>6</v>
      </c>
      <c r="BE7" s="1" t="s">
        <v>7</v>
      </c>
      <c r="BF7" s="1" t="s">
        <v>8</v>
      </c>
      <c r="BG7" s="1" t="s">
        <v>9</v>
      </c>
      <c r="BH7" s="1" t="s">
        <v>10</v>
      </c>
      <c r="BI7" s="1" t="s">
        <v>11</v>
      </c>
      <c r="BJ7" s="1" t="s">
        <v>12</v>
      </c>
      <c r="BK7" s="1" t="s">
        <v>13</v>
      </c>
      <c r="BL7" s="1" t="s">
        <v>14</v>
      </c>
      <c r="BN7" s="26" t="s">
        <v>0</v>
      </c>
      <c r="BO7" s="7" t="s">
        <v>1</v>
      </c>
      <c r="BP7" s="1" t="s">
        <v>2</v>
      </c>
      <c r="BQ7" s="7" t="s">
        <v>3</v>
      </c>
      <c r="BR7" s="1" t="s">
        <v>4</v>
      </c>
      <c r="BS7" s="1" t="s">
        <v>5</v>
      </c>
      <c r="BT7" s="1" t="s">
        <v>6</v>
      </c>
      <c r="BU7" s="1" t="s">
        <v>7</v>
      </c>
      <c r="BV7" s="1" t="s">
        <v>8</v>
      </c>
      <c r="BW7" s="1" t="s">
        <v>9</v>
      </c>
      <c r="BX7" s="1" t="s">
        <v>10</v>
      </c>
      <c r="BY7" s="1" t="s">
        <v>11</v>
      </c>
      <c r="BZ7" s="1" t="s">
        <v>12</v>
      </c>
      <c r="CA7" s="1" t="s">
        <v>13</v>
      </c>
      <c r="CB7" s="1" t="s">
        <v>14</v>
      </c>
      <c r="CK7" s="24"/>
      <c r="CL7" s="1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DE7" s="67"/>
      <c r="DF7" s="67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EI7" s="20" t="s">
        <v>230</v>
      </c>
      <c r="EJ7" s="7" t="s">
        <v>1</v>
      </c>
      <c r="EK7" s="7" t="s">
        <v>2</v>
      </c>
      <c r="EL7" s="7" t="s">
        <v>3</v>
      </c>
      <c r="EM7" s="1" t="s">
        <v>4</v>
      </c>
      <c r="EN7" s="1" t="s">
        <v>5</v>
      </c>
      <c r="EO7" s="1" t="s">
        <v>6</v>
      </c>
      <c r="EP7" s="1" t="s">
        <v>7</v>
      </c>
      <c r="EQ7" s="1" t="s">
        <v>8</v>
      </c>
      <c r="ER7" s="1" t="s">
        <v>9</v>
      </c>
      <c r="ES7" s="1" t="s">
        <v>10</v>
      </c>
      <c r="ET7" s="1" t="s">
        <v>11</v>
      </c>
      <c r="EU7" s="1" t="s">
        <v>12</v>
      </c>
      <c r="EV7" s="1" t="s">
        <v>13</v>
      </c>
      <c r="EW7" s="1" t="s">
        <v>14</v>
      </c>
      <c r="FC7" s="67"/>
      <c r="FD7" s="67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</row>
    <row r="8" spans="2:173" x14ac:dyDescent="0.25">
      <c r="B8" s="99"/>
      <c r="C8" s="67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R8" s="99" t="s">
        <v>237</v>
      </c>
      <c r="S8" s="67" t="s">
        <v>238</v>
      </c>
      <c r="T8" s="2">
        <v>250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H8" s="103" t="s">
        <v>70</v>
      </c>
      <c r="AI8" s="67" t="s">
        <v>71</v>
      </c>
      <c r="AJ8" s="2">
        <v>250</v>
      </c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X8" s="103" t="s">
        <v>242</v>
      </c>
      <c r="AY8" s="67" t="s">
        <v>196</v>
      </c>
      <c r="AZ8" s="2">
        <v>250</v>
      </c>
      <c r="BA8" s="2">
        <v>1500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N8" s="129" t="s">
        <v>70</v>
      </c>
      <c r="BO8" s="67" t="s">
        <v>71</v>
      </c>
      <c r="BP8" s="2">
        <v>250</v>
      </c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K8" s="25"/>
      <c r="CL8" s="13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DE8" s="68"/>
      <c r="DF8" s="68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EI8" s="91" t="s">
        <v>251</v>
      </c>
      <c r="EJ8" s="67" t="s">
        <v>252</v>
      </c>
      <c r="EK8" s="2">
        <v>250</v>
      </c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FC8" s="68"/>
      <c r="FD8" s="68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</row>
    <row r="9" spans="2:173" x14ac:dyDescent="0.25">
      <c r="B9" s="100"/>
      <c r="C9" s="68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R9" s="100"/>
      <c r="S9" s="68"/>
      <c r="T9" s="2" t="s">
        <v>239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H9" s="104"/>
      <c r="AI9" s="68"/>
      <c r="AJ9" s="2" t="s">
        <v>72</v>
      </c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X9" s="104"/>
      <c r="AY9" s="68"/>
      <c r="AZ9" s="2" t="s">
        <v>243</v>
      </c>
      <c r="BA9" s="2" t="s">
        <v>243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N9" s="130"/>
      <c r="BO9" s="68"/>
      <c r="BP9" s="2" t="s">
        <v>72</v>
      </c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K9" s="24"/>
      <c r="CL9" s="1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DE9" s="67"/>
      <c r="DF9" s="67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EI9" s="92"/>
      <c r="EJ9" s="68"/>
      <c r="EK9" s="2" t="s">
        <v>253</v>
      </c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FC9" s="67"/>
      <c r="FD9" s="67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</row>
    <row r="10" spans="2:173" x14ac:dyDescent="0.25">
      <c r="B10" s="99" t="s">
        <v>248</v>
      </c>
      <c r="C10" s="67" t="s">
        <v>249</v>
      </c>
      <c r="D10" s="2">
        <v>250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R10" s="99" t="s">
        <v>251</v>
      </c>
      <c r="S10" s="67" t="s">
        <v>252</v>
      </c>
      <c r="T10" s="2">
        <v>250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H10" s="103" t="s">
        <v>240</v>
      </c>
      <c r="AI10" s="67"/>
      <c r="AJ10" s="2">
        <v>250</v>
      </c>
      <c r="AK10" s="2">
        <v>1500</v>
      </c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X10" s="103" t="s">
        <v>245</v>
      </c>
      <c r="AY10" s="67" t="s">
        <v>246</v>
      </c>
      <c r="AZ10" s="2">
        <v>250</v>
      </c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N10" s="129" t="s">
        <v>288</v>
      </c>
      <c r="BO10" s="67"/>
      <c r="BP10" s="2">
        <v>250</v>
      </c>
      <c r="BQ10" s="2">
        <v>1500</v>
      </c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K10" s="25"/>
      <c r="CL10" s="13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DE10" s="68"/>
      <c r="DF10" s="68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EI10" s="91" t="s">
        <v>255</v>
      </c>
      <c r="EJ10" s="67" t="s">
        <v>256</v>
      </c>
      <c r="EK10" s="2">
        <v>250</v>
      </c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FC10" s="68"/>
      <c r="FD10" s="68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</row>
    <row r="11" spans="2:173" x14ac:dyDescent="0.25">
      <c r="B11" s="100"/>
      <c r="C11" s="68"/>
      <c r="D11" s="2" t="s">
        <v>250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R11" s="100"/>
      <c r="S11" s="68"/>
      <c r="T11" s="2" t="s">
        <v>254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H11" s="104"/>
      <c r="AI11" s="68"/>
      <c r="AJ11" s="2" t="s">
        <v>241</v>
      </c>
      <c r="AK11" s="2" t="s">
        <v>241</v>
      </c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X11" s="104"/>
      <c r="AY11" s="68"/>
      <c r="AZ11" s="2" t="s">
        <v>247</v>
      </c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N11" s="130"/>
      <c r="BO11" s="68"/>
      <c r="BP11" s="2" t="s">
        <v>289</v>
      </c>
      <c r="BQ11" s="2" t="s">
        <v>289</v>
      </c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K11" s="24"/>
      <c r="CL11" s="1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DE11" s="67"/>
      <c r="DF11" s="67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EI11" s="92"/>
      <c r="EJ11" s="68"/>
      <c r="EK11" s="2" t="s">
        <v>257</v>
      </c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FC11" s="67"/>
      <c r="FD11" s="67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</row>
    <row r="12" spans="2:173" x14ac:dyDescent="0.25">
      <c r="B12" s="99" t="s">
        <v>258</v>
      </c>
      <c r="C12" s="67" t="s">
        <v>214</v>
      </c>
      <c r="D12" s="2">
        <v>250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R12" s="99" t="s">
        <v>285</v>
      </c>
      <c r="S12" s="67" t="s">
        <v>284</v>
      </c>
      <c r="T12" s="2">
        <v>250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H12" s="103" t="s">
        <v>255</v>
      </c>
      <c r="AI12" s="67" t="s">
        <v>256</v>
      </c>
      <c r="AJ12" s="2">
        <v>250</v>
      </c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X12" s="103" t="s">
        <v>457</v>
      </c>
      <c r="AY12" s="67" t="s">
        <v>459</v>
      </c>
      <c r="AZ12" s="2">
        <v>250</v>
      </c>
      <c r="BA12" s="2">
        <v>1500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N12" s="129" t="s">
        <v>457</v>
      </c>
      <c r="BO12" s="67" t="s">
        <v>459</v>
      </c>
      <c r="BP12" s="2">
        <v>250</v>
      </c>
      <c r="BQ12" s="2">
        <v>1500</v>
      </c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K12" s="25"/>
      <c r="CL12" s="13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DE12" s="68"/>
      <c r="DF12" s="68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EI12" s="91" t="s">
        <v>283</v>
      </c>
      <c r="EJ12" s="67" t="s">
        <v>284</v>
      </c>
      <c r="EK12" s="2">
        <v>250</v>
      </c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FC12" s="68"/>
      <c r="FD12" s="68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</row>
    <row r="13" spans="2:173" x14ac:dyDescent="0.25">
      <c r="B13" s="100"/>
      <c r="C13" s="68"/>
      <c r="D13" s="2" t="s">
        <v>259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R13" s="100"/>
      <c r="S13" s="68"/>
      <c r="T13" s="2" t="s">
        <v>277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H13" s="104"/>
      <c r="AI13" s="68"/>
      <c r="AJ13" s="2" t="s">
        <v>257</v>
      </c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X13" s="104"/>
      <c r="AY13" s="68"/>
      <c r="AZ13" s="2" t="s">
        <v>458</v>
      </c>
      <c r="BA13" s="2" t="s">
        <v>458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N13" s="130"/>
      <c r="BO13" s="68"/>
      <c r="BP13" s="2" t="s">
        <v>458</v>
      </c>
      <c r="BQ13" s="2" t="s">
        <v>458</v>
      </c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K13" s="24"/>
      <c r="CL13" s="1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DE13" s="67"/>
      <c r="DF13" s="67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EI13" s="92"/>
      <c r="EJ13" s="68"/>
      <c r="EK13" s="2" t="s">
        <v>277</v>
      </c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FC13" s="67"/>
      <c r="FD13" s="67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</row>
    <row r="14" spans="2:173" x14ac:dyDescent="0.25">
      <c r="B14" s="99" t="s">
        <v>286</v>
      </c>
      <c r="C14" s="67"/>
      <c r="D14" s="2">
        <v>250</v>
      </c>
      <c r="E14" s="2">
        <v>1500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R14" s="99" t="s">
        <v>70</v>
      </c>
      <c r="S14" s="67" t="s">
        <v>71</v>
      </c>
      <c r="T14" s="2">
        <v>250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H14" s="103" t="s">
        <v>240</v>
      </c>
      <c r="AI14" s="67"/>
      <c r="AJ14" s="2">
        <v>250</v>
      </c>
      <c r="AK14" s="2">
        <v>1500</v>
      </c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X14" s="103"/>
      <c r="AY14" s="67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N14" s="129" t="s">
        <v>476</v>
      </c>
      <c r="BO14" s="67"/>
      <c r="BP14" s="2">
        <v>250</v>
      </c>
      <c r="BQ14" s="2">
        <v>1500</v>
      </c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K14" s="25"/>
      <c r="CL14" s="13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DE14" s="68"/>
      <c r="DF14" s="68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EI14" s="91" t="s">
        <v>384</v>
      </c>
      <c r="EJ14" s="67" t="s">
        <v>385</v>
      </c>
      <c r="EK14" s="2">
        <v>250</v>
      </c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FC14" s="68"/>
      <c r="FD14" s="68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</row>
    <row r="15" spans="2:173" x14ac:dyDescent="0.25">
      <c r="B15" s="100"/>
      <c r="C15" s="68"/>
      <c r="D15" s="2" t="s">
        <v>287</v>
      </c>
      <c r="E15" s="2" t="s">
        <v>287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100"/>
      <c r="S15" s="68"/>
      <c r="T15" s="2" t="s">
        <v>72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H15" s="104"/>
      <c r="AI15" s="68"/>
      <c r="AJ15" s="2" t="s">
        <v>260</v>
      </c>
      <c r="AK15" s="2" t="s">
        <v>260</v>
      </c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X15" s="104"/>
      <c r="AY15" s="68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N15" s="130"/>
      <c r="BO15" s="68"/>
      <c r="BP15" s="2" t="s">
        <v>477</v>
      </c>
      <c r="BQ15" s="2" t="s">
        <v>477</v>
      </c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K15" s="24"/>
      <c r="CL15" s="1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DE15" s="67"/>
      <c r="DF15" s="67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EI15" s="92"/>
      <c r="EJ15" s="68"/>
      <c r="EK15" s="2" t="s">
        <v>386</v>
      </c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FC15" s="67"/>
      <c r="FD15" s="67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</row>
    <row r="16" spans="2:173" x14ac:dyDescent="0.25">
      <c r="B16" s="99" t="s">
        <v>471</v>
      </c>
      <c r="C16" s="67"/>
      <c r="D16" s="52" t="s">
        <v>475</v>
      </c>
      <c r="E16" s="2">
        <v>1500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R16" s="99" t="s">
        <v>470</v>
      </c>
      <c r="S16" s="67"/>
      <c r="T16" s="2">
        <v>250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H16" s="103" t="s">
        <v>387</v>
      </c>
      <c r="AI16" s="67" t="s">
        <v>388</v>
      </c>
      <c r="AJ16" s="2">
        <v>250</v>
      </c>
      <c r="AK16" s="2">
        <v>1500</v>
      </c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X16" s="103"/>
      <c r="AY16" s="67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N16" s="129" t="s">
        <v>481</v>
      </c>
      <c r="BO16" s="67"/>
      <c r="BP16" s="2">
        <v>250</v>
      </c>
      <c r="BQ16" s="2">
        <v>1500</v>
      </c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K16" s="25"/>
      <c r="CL16" s="13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DE16" s="68"/>
      <c r="DF16" s="68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EI16" s="91" t="s">
        <v>466</v>
      </c>
      <c r="EJ16" s="67" t="s">
        <v>467</v>
      </c>
      <c r="EK16" s="2">
        <v>250</v>
      </c>
      <c r="EL16" s="2">
        <v>1500</v>
      </c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FC16" s="68"/>
      <c r="FD16" s="68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</row>
    <row r="17" spans="2:173" x14ac:dyDescent="0.25">
      <c r="B17" s="100"/>
      <c r="C17" s="68"/>
      <c r="D17" s="52" t="s">
        <v>474</v>
      </c>
      <c r="E17" s="2" t="s">
        <v>474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R17" s="100"/>
      <c r="S17" s="68"/>
      <c r="T17" s="2" t="s">
        <v>473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H17" s="104"/>
      <c r="AI17" s="68"/>
      <c r="AJ17" s="2" t="s">
        <v>389</v>
      </c>
      <c r="AK17" s="2" t="s">
        <v>389</v>
      </c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X17" s="104"/>
      <c r="AY17" s="68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N17" s="130"/>
      <c r="BO17" s="68"/>
      <c r="BP17" s="2" t="s">
        <v>480</v>
      </c>
      <c r="BQ17" s="2" t="s">
        <v>480</v>
      </c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K17" s="24"/>
      <c r="CL17" s="1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DE17" s="67"/>
      <c r="DF17" s="67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EI17" s="92"/>
      <c r="EJ17" s="68"/>
      <c r="EK17" s="2" t="s">
        <v>468</v>
      </c>
      <c r="EL17" s="2" t="s">
        <v>468</v>
      </c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FC17" s="67"/>
      <c r="FD17" s="67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</row>
    <row r="18" spans="2:173" x14ac:dyDescent="0.25">
      <c r="B18" s="99" t="s">
        <v>484</v>
      </c>
      <c r="C18" s="67"/>
      <c r="D18" s="53">
        <v>250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R18" s="99" t="s">
        <v>476</v>
      </c>
      <c r="S18" s="67"/>
      <c r="T18" s="2">
        <v>250</v>
      </c>
      <c r="U18" s="2">
        <v>1500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H18" s="103" t="s">
        <v>539</v>
      </c>
      <c r="AI18" s="67" t="s">
        <v>469</v>
      </c>
      <c r="AJ18" s="2">
        <v>250</v>
      </c>
      <c r="AK18" s="2">
        <v>1500</v>
      </c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X18" s="103"/>
      <c r="AY18" s="67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N18" s="129" t="s">
        <v>482</v>
      </c>
      <c r="BO18" s="67"/>
      <c r="BP18" s="2">
        <v>250</v>
      </c>
      <c r="BQ18" s="2">
        <v>1500</v>
      </c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K18" s="25"/>
      <c r="CL18" s="13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DE18" s="68"/>
      <c r="DF18" s="68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EI18" s="91" t="s">
        <v>476</v>
      </c>
      <c r="EJ18" s="67"/>
      <c r="EK18" s="52">
        <v>250</v>
      </c>
      <c r="EL18" s="2">
        <v>1500</v>
      </c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FC18" s="68"/>
      <c r="FD18" s="68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</row>
    <row r="19" spans="2:173" x14ac:dyDescent="0.25">
      <c r="B19" s="100"/>
      <c r="C19" s="68"/>
      <c r="D19" s="53" t="s">
        <v>485</v>
      </c>
      <c r="E19" s="53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R19" s="100"/>
      <c r="S19" s="68"/>
      <c r="T19" s="2" t="s">
        <v>473</v>
      </c>
      <c r="U19" s="2" t="s">
        <v>473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H19" s="104"/>
      <c r="AI19" s="68"/>
      <c r="AJ19" s="2" t="s">
        <v>468</v>
      </c>
      <c r="AK19" s="2" t="s">
        <v>468</v>
      </c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X19" s="104"/>
      <c r="AY19" s="68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N19" s="130"/>
      <c r="BO19" s="68"/>
      <c r="BP19" s="2" t="s">
        <v>483</v>
      </c>
      <c r="BQ19" s="2" t="s">
        <v>483</v>
      </c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K19" s="24"/>
      <c r="CL19" s="1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DE19" s="67"/>
      <c r="DF19" s="67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EI19" s="92"/>
      <c r="EJ19" s="68"/>
      <c r="EK19" s="52" t="s">
        <v>479</v>
      </c>
      <c r="EL19" s="2" t="s">
        <v>479</v>
      </c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FC19" s="67"/>
      <c r="FD19" s="67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</row>
    <row r="20" spans="2:173" x14ac:dyDescent="0.25">
      <c r="B20" s="99" t="s">
        <v>486</v>
      </c>
      <c r="C20" s="67"/>
      <c r="D20" s="53">
        <v>250</v>
      </c>
      <c r="E20" s="2">
        <v>1500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R20" s="99"/>
      <c r="S20" s="67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H20" s="103" t="s">
        <v>478</v>
      </c>
      <c r="AI20" s="67"/>
      <c r="AJ20" s="2">
        <v>250</v>
      </c>
      <c r="AK20" s="2">
        <v>1500</v>
      </c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X20" s="103"/>
      <c r="AY20" s="67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N20" s="129" t="s">
        <v>486</v>
      </c>
      <c r="BO20" s="67"/>
      <c r="BP20" s="2">
        <v>250</v>
      </c>
      <c r="BQ20" s="2">
        <v>1500</v>
      </c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K20" s="25"/>
      <c r="CL20" s="13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DE20" s="68"/>
      <c r="DF20" s="68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EI20" s="91"/>
      <c r="EJ20" s="67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FC20" s="68"/>
      <c r="FD20" s="68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</row>
    <row r="21" spans="2:173" x14ac:dyDescent="0.25">
      <c r="B21" s="100"/>
      <c r="C21" s="68"/>
      <c r="D21" s="53" t="s">
        <v>487</v>
      </c>
      <c r="E21" s="53" t="s">
        <v>487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R21" s="100"/>
      <c r="S21" s="68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H21" s="104"/>
      <c r="AI21" s="68"/>
      <c r="AJ21" s="2" t="s">
        <v>477</v>
      </c>
      <c r="AK21" s="2" t="s">
        <v>477</v>
      </c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X21" s="104"/>
      <c r="AY21" s="68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N21" s="130"/>
      <c r="BO21" s="68"/>
      <c r="BP21" s="2" t="s">
        <v>488</v>
      </c>
      <c r="BQ21" s="2" t="s">
        <v>488</v>
      </c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K21" s="24"/>
      <c r="CL21" s="1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DE21" s="67"/>
      <c r="DF21" s="67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EI21" s="92"/>
      <c r="EJ21" s="68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FC21" s="67"/>
      <c r="FD21" s="67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</row>
    <row r="22" spans="2:173" x14ac:dyDescent="0.25">
      <c r="B22" s="99"/>
      <c r="C22" s="67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R22" s="99"/>
      <c r="S22" s="67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H22" s="103" t="s">
        <v>486</v>
      </c>
      <c r="AI22" s="67"/>
      <c r="AJ22" s="2">
        <v>250</v>
      </c>
      <c r="AK22" s="2">
        <v>1500</v>
      </c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X22" s="103"/>
      <c r="AY22" s="67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N22" s="129" t="s">
        <v>648</v>
      </c>
      <c r="BO22" s="67"/>
      <c r="BP22" s="2">
        <v>250</v>
      </c>
      <c r="BQ22" s="2">
        <v>1500</v>
      </c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K22" s="25"/>
      <c r="CL22" s="13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DE22" s="68"/>
      <c r="DF22" s="68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EI22" s="91"/>
      <c r="EJ22" s="67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FC22" s="68"/>
      <c r="FD22" s="68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</row>
    <row r="23" spans="2:173" x14ac:dyDescent="0.25">
      <c r="B23" s="100"/>
      <c r="C23" s="68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100"/>
      <c r="S23" s="68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H23" s="104"/>
      <c r="AI23" s="68"/>
      <c r="AJ23" s="2" t="s">
        <v>488</v>
      </c>
      <c r="AK23" s="2" t="s">
        <v>488</v>
      </c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X23" s="104"/>
      <c r="AY23" s="68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N23" s="130"/>
      <c r="BO23" s="68"/>
      <c r="BP23" s="2" t="s">
        <v>649</v>
      </c>
      <c r="BQ23" s="2" t="s">
        <v>649</v>
      </c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K23" s="24"/>
      <c r="CL23" s="1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DE23" s="67"/>
      <c r="DF23" s="67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EI23" s="92"/>
      <c r="EJ23" s="68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FC23" s="67"/>
      <c r="FD23" s="67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</row>
    <row r="24" spans="2:173" x14ac:dyDescent="0.25">
      <c r="B24" s="99"/>
      <c r="C24" s="67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R24" s="99"/>
      <c r="S24" s="67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H24" s="103"/>
      <c r="AI24" s="67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X24" s="103"/>
      <c r="AY24" s="67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N24" s="129"/>
      <c r="BO24" s="67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K24" s="25"/>
      <c r="CL24" s="13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DE24" s="68"/>
      <c r="DF24" s="68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EI24" s="91"/>
      <c r="EJ24" s="67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FC24" s="68"/>
      <c r="FD24" s="68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</row>
    <row r="25" spans="2:173" x14ac:dyDescent="0.25">
      <c r="B25" s="100"/>
      <c r="C25" s="68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00"/>
      <c r="S25" s="68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H25" s="104"/>
      <c r="AI25" s="68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X25" s="104"/>
      <c r="AY25" s="68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N25" s="130"/>
      <c r="BO25" s="68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K25" s="24"/>
      <c r="CL25" s="1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DE25" s="67"/>
      <c r="DF25" s="67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EI25" s="92"/>
      <c r="EJ25" s="68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FC25" s="67"/>
      <c r="FD25" s="67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</row>
    <row r="26" spans="2:173" x14ac:dyDescent="0.25">
      <c r="B26" s="99"/>
      <c r="C26" s="67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R26" s="99"/>
      <c r="S26" s="67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H26" s="103"/>
      <c r="AI26" s="67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X26" s="103"/>
      <c r="AY26" s="67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N26" s="129"/>
      <c r="BO26" s="67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K26" s="25"/>
      <c r="CL26" s="13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DE26" s="68"/>
      <c r="DF26" s="68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EI26" s="91"/>
      <c r="EJ26" s="67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FC26" s="68"/>
      <c r="FD26" s="68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</row>
    <row r="27" spans="2:173" x14ac:dyDescent="0.25">
      <c r="B27" s="100"/>
      <c r="C27" s="68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R27" s="100"/>
      <c r="S27" s="68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H27" s="104"/>
      <c r="AI27" s="68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X27" s="104"/>
      <c r="AY27" s="68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N27" s="130"/>
      <c r="BO27" s="68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K27" s="24"/>
      <c r="CL27" s="1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DE27" s="67"/>
      <c r="DF27" s="67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EI27" s="92"/>
      <c r="EJ27" s="68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FC27" s="67"/>
      <c r="FD27" s="67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</row>
    <row r="28" spans="2:173" x14ac:dyDescent="0.25">
      <c r="B28" s="99"/>
      <c r="C28" s="67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R28" s="99"/>
      <c r="S28" s="67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H28" s="103"/>
      <c r="AI28" s="67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X28" s="103"/>
      <c r="AY28" s="67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N28" s="129"/>
      <c r="BO28" s="67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K28" s="25"/>
      <c r="CL28" s="13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DE28" s="68"/>
      <c r="DF28" s="68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EI28" s="91"/>
      <c r="EJ28" s="67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FC28" s="68"/>
      <c r="FD28" s="68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</row>
    <row r="29" spans="2:173" x14ac:dyDescent="0.25">
      <c r="B29" s="100"/>
      <c r="C29" s="68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R29" s="100"/>
      <c r="S29" s="68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H29" s="104"/>
      <c r="AI29" s="68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X29" s="104"/>
      <c r="AY29" s="68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N29" s="130"/>
      <c r="BO29" s="68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K29" s="24"/>
      <c r="CL29" s="1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DE29" s="67"/>
      <c r="DF29" s="67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EI29" s="92"/>
      <c r="EJ29" s="68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FC29" s="67"/>
      <c r="FD29" s="67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</row>
    <row r="30" spans="2:173" x14ac:dyDescent="0.25">
      <c r="B30" s="99"/>
      <c r="C30" s="6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R30" s="99"/>
      <c r="S30" s="67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H30" s="103"/>
      <c r="AI30" s="67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X30" s="103"/>
      <c r="AY30" s="67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N30" s="129"/>
      <c r="BO30" s="67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K30" s="25"/>
      <c r="CL30" s="13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DE30" s="68"/>
      <c r="DF30" s="68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EI30" s="91"/>
      <c r="EJ30" s="67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FC30" s="68"/>
      <c r="FD30" s="68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</row>
    <row r="31" spans="2:173" x14ac:dyDescent="0.25">
      <c r="B31" s="100"/>
      <c r="C31" s="68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100"/>
      <c r="S31" s="68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H31" s="104"/>
      <c r="AI31" s="68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X31" s="104"/>
      <c r="AY31" s="68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N31" s="130"/>
      <c r="BO31" s="68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K31" s="24"/>
      <c r="CL31" s="1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DE31" s="67"/>
      <c r="DF31" s="67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EI31" s="92"/>
      <c r="EJ31" s="68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FC31" s="67"/>
      <c r="FD31" s="67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</row>
    <row r="32" spans="2:173" x14ac:dyDescent="0.25">
      <c r="B32" s="99"/>
      <c r="C32" s="6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R32" s="99"/>
      <c r="S32" s="67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H32" s="103"/>
      <c r="AI32" s="67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X32" s="103"/>
      <c r="AY32" s="67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N32" s="129"/>
      <c r="BO32" s="67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K32" s="25"/>
      <c r="CL32" s="13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DE32" s="68"/>
      <c r="DF32" s="68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EI32" s="91"/>
      <c r="EJ32" s="67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FC32" s="68"/>
      <c r="FD32" s="68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</row>
    <row r="33" spans="2:173" x14ac:dyDescent="0.25">
      <c r="B33" s="100"/>
      <c r="C33" s="68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R33" s="100"/>
      <c r="S33" s="68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H33" s="104"/>
      <c r="AI33" s="68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X33" s="104"/>
      <c r="AY33" s="68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N33" s="130"/>
      <c r="BO33" s="68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K33" s="101"/>
      <c r="CL33" s="67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EI33" s="92"/>
      <c r="EJ33" s="68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FC33" s="67"/>
      <c r="FD33" s="67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</row>
    <row r="34" spans="2:173" x14ac:dyDescent="0.25">
      <c r="B34" s="99"/>
      <c r="C34" s="6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R34" s="99"/>
      <c r="S34" s="67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H34" s="103"/>
      <c r="AI34" s="67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X34" s="103"/>
      <c r="AY34" s="67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N34" s="129"/>
      <c r="BO34" s="67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K34" s="102"/>
      <c r="CL34" s="68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EI34" s="91"/>
      <c r="EJ34" s="67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FC34" s="68"/>
      <c r="FD34" s="68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</row>
    <row r="35" spans="2:173" x14ac:dyDescent="0.25">
      <c r="B35" s="100"/>
      <c r="C35" s="68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R35" s="100"/>
      <c r="S35" s="68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H35" s="104"/>
      <c r="AI35" s="68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X35" s="104"/>
      <c r="AY35" s="68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N35" s="130"/>
      <c r="BO35" s="68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EI35" s="92"/>
      <c r="EJ35" s="68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</row>
  </sheetData>
  <mergeCells count="235">
    <mergeCell ref="BQ5:BV6"/>
    <mergeCell ref="AY34:AY35"/>
    <mergeCell ref="AX34:AX35"/>
    <mergeCell ref="AX24:AX25"/>
    <mergeCell ref="AY22:AY23"/>
    <mergeCell ref="AX22:AX23"/>
    <mergeCell ref="AY28:AY29"/>
    <mergeCell ref="AX28:AX29"/>
    <mergeCell ref="AY32:AY33"/>
    <mergeCell ref="AX32:AX33"/>
    <mergeCell ref="AY30:AY31"/>
    <mergeCell ref="AX30:AX31"/>
    <mergeCell ref="BO12:BO13"/>
    <mergeCell ref="BN12:BN13"/>
    <mergeCell ref="BO10:BO11"/>
    <mergeCell ref="BN10:BN11"/>
    <mergeCell ref="BO8:BO9"/>
    <mergeCell ref="BN8:BN9"/>
    <mergeCell ref="BO24:BO25"/>
    <mergeCell ref="BN24:BN25"/>
    <mergeCell ref="BO22:BO23"/>
    <mergeCell ref="BN22:BN23"/>
    <mergeCell ref="BO20:BO21"/>
    <mergeCell ref="BN20:BN21"/>
    <mergeCell ref="BO18:BO19"/>
    <mergeCell ref="BN18:BN19"/>
    <mergeCell ref="BO16:BO17"/>
    <mergeCell ref="BN16:BN17"/>
    <mergeCell ref="BO32:BO33"/>
    <mergeCell ref="BN32:BN33"/>
    <mergeCell ref="BO30:BO31"/>
    <mergeCell ref="BN30:BN31"/>
    <mergeCell ref="BO28:BO29"/>
    <mergeCell ref="BN28:BN29"/>
    <mergeCell ref="BO34:BO35"/>
    <mergeCell ref="BN34:BN35"/>
    <mergeCell ref="BO14:BO15"/>
    <mergeCell ref="BN14:BN15"/>
    <mergeCell ref="BO26:BO27"/>
    <mergeCell ref="BN26:BN27"/>
    <mergeCell ref="EI16:EI17"/>
    <mergeCell ref="EJ16:EJ17"/>
    <mergeCell ref="EI28:EI29"/>
    <mergeCell ref="EJ28:EJ29"/>
    <mergeCell ref="EI30:EI31"/>
    <mergeCell ref="DE29:DE30"/>
    <mergeCell ref="DF29:DF30"/>
    <mergeCell ref="DE31:DE32"/>
    <mergeCell ref="DF31:DF32"/>
    <mergeCell ref="EI18:EI19"/>
    <mergeCell ref="EJ18:EJ19"/>
    <mergeCell ref="EI20:EI21"/>
    <mergeCell ref="EJ20:EJ21"/>
    <mergeCell ref="EI22:EI23"/>
    <mergeCell ref="EJ22:EJ23"/>
    <mergeCell ref="EI24:EI25"/>
    <mergeCell ref="EJ24:EJ25"/>
    <mergeCell ref="DE23:DE24"/>
    <mergeCell ref="FC27:FC28"/>
    <mergeCell ref="FD27:FD28"/>
    <mergeCell ref="FC29:FC30"/>
    <mergeCell ref="FD29:FD30"/>
    <mergeCell ref="FC31:FC32"/>
    <mergeCell ref="FD31:FD32"/>
    <mergeCell ref="EJ30:EJ31"/>
    <mergeCell ref="EI32:EI33"/>
    <mergeCell ref="EJ32:EJ33"/>
    <mergeCell ref="FC33:FC34"/>
    <mergeCell ref="FD33:FD34"/>
    <mergeCell ref="EI34:EI35"/>
    <mergeCell ref="EJ34:EJ35"/>
    <mergeCell ref="EI26:EI27"/>
    <mergeCell ref="EJ26:EJ27"/>
    <mergeCell ref="FC17:FC18"/>
    <mergeCell ref="FD17:FD18"/>
    <mergeCell ref="FC19:FC20"/>
    <mergeCell ref="FD19:FD20"/>
    <mergeCell ref="FC21:FC22"/>
    <mergeCell ref="FD21:FD22"/>
    <mergeCell ref="FC23:FC24"/>
    <mergeCell ref="FD23:FD24"/>
    <mergeCell ref="FC25:FC26"/>
    <mergeCell ref="FD25:FD26"/>
    <mergeCell ref="FC7:FC8"/>
    <mergeCell ref="FD7:FD8"/>
    <mergeCell ref="FC9:FC10"/>
    <mergeCell ref="FD9:FD10"/>
    <mergeCell ref="FC11:FC12"/>
    <mergeCell ref="FD11:FD12"/>
    <mergeCell ref="FC13:FC14"/>
    <mergeCell ref="FD13:FD14"/>
    <mergeCell ref="FC15:FC16"/>
    <mergeCell ref="FD15:FD16"/>
    <mergeCell ref="FF4:FK5"/>
    <mergeCell ref="CO4:CT5"/>
    <mergeCell ref="DI2:DN3"/>
    <mergeCell ref="AX20:AX21"/>
    <mergeCell ref="AY20:AY21"/>
    <mergeCell ref="AH34:AH35"/>
    <mergeCell ref="AI34:AI35"/>
    <mergeCell ref="BA5:BF6"/>
    <mergeCell ref="AX8:AX9"/>
    <mergeCell ref="AY8:AY9"/>
    <mergeCell ref="AX10:AX11"/>
    <mergeCell ref="AY10:AY11"/>
    <mergeCell ref="AX12:AX13"/>
    <mergeCell ref="AY12:AY13"/>
    <mergeCell ref="AX14:AX15"/>
    <mergeCell ref="AH28:AH29"/>
    <mergeCell ref="AI28:AI29"/>
    <mergeCell ref="AH30:AH31"/>
    <mergeCell ref="AI30:AI31"/>
    <mergeCell ref="AH32:AH33"/>
    <mergeCell ref="AI32:AI33"/>
    <mergeCell ref="AH16:AH17"/>
    <mergeCell ref="AI16:AI17"/>
    <mergeCell ref="AY14:AY15"/>
    <mergeCell ref="AY26:AY27"/>
    <mergeCell ref="AX26:AX27"/>
    <mergeCell ref="AY24:AY25"/>
    <mergeCell ref="AK5:AP6"/>
    <mergeCell ref="AH8:AH9"/>
    <mergeCell ref="AI8:AI9"/>
    <mergeCell ref="AH10:AH11"/>
    <mergeCell ref="AI10:AI11"/>
    <mergeCell ref="AH12:AH13"/>
    <mergeCell ref="AX16:AX17"/>
    <mergeCell ref="AY16:AY17"/>
    <mergeCell ref="AX18:AX19"/>
    <mergeCell ref="AY18:AY19"/>
    <mergeCell ref="AH24:AH25"/>
    <mergeCell ref="AI24:AI25"/>
    <mergeCell ref="AH26:AH27"/>
    <mergeCell ref="AI26:AI27"/>
    <mergeCell ref="AH22:AH23"/>
    <mergeCell ref="AI22:AI23"/>
    <mergeCell ref="AI12:AI13"/>
    <mergeCell ref="AH14:AH15"/>
    <mergeCell ref="AI14:AI15"/>
    <mergeCell ref="AH18:AH19"/>
    <mergeCell ref="AI18:AI19"/>
    <mergeCell ref="AH20:AH21"/>
    <mergeCell ref="AI20:AI21"/>
    <mergeCell ref="R32:R33"/>
    <mergeCell ref="S32:S33"/>
    <mergeCell ref="R34:R35"/>
    <mergeCell ref="S34:S35"/>
    <mergeCell ref="R26:R27"/>
    <mergeCell ref="S26:S27"/>
    <mergeCell ref="R28:R29"/>
    <mergeCell ref="S28:S29"/>
    <mergeCell ref="R30:R31"/>
    <mergeCell ref="S30:S31"/>
    <mergeCell ref="R20:R21"/>
    <mergeCell ref="S20:S21"/>
    <mergeCell ref="R22:R23"/>
    <mergeCell ref="S22:S23"/>
    <mergeCell ref="R24:R25"/>
    <mergeCell ref="S24:S25"/>
    <mergeCell ref="S12:S13"/>
    <mergeCell ref="R14:R15"/>
    <mergeCell ref="S14:S15"/>
    <mergeCell ref="R16:R17"/>
    <mergeCell ref="S16:S17"/>
    <mergeCell ref="R18:R19"/>
    <mergeCell ref="S18:S19"/>
    <mergeCell ref="B32:B33"/>
    <mergeCell ref="C32:C33"/>
    <mergeCell ref="B18:B19"/>
    <mergeCell ref="C18:C19"/>
    <mergeCell ref="C20:C21"/>
    <mergeCell ref="B22:B23"/>
    <mergeCell ref="C22:C23"/>
    <mergeCell ref="B24:B25"/>
    <mergeCell ref="C24:C25"/>
    <mergeCell ref="B14:B15"/>
    <mergeCell ref="C14:C15"/>
    <mergeCell ref="B16:B17"/>
    <mergeCell ref="C16:C17"/>
    <mergeCell ref="E5:J6"/>
    <mergeCell ref="B8:B9"/>
    <mergeCell ref="C8:C9"/>
    <mergeCell ref="B10:B11"/>
    <mergeCell ref="C10:C11"/>
    <mergeCell ref="B12:B13"/>
    <mergeCell ref="C12:C13"/>
    <mergeCell ref="CK33:CK34"/>
    <mergeCell ref="CL33:CL34"/>
    <mergeCell ref="B34:B35"/>
    <mergeCell ref="C34:C35"/>
    <mergeCell ref="U5:Z6"/>
    <mergeCell ref="R8:R9"/>
    <mergeCell ref="S8:S9"/>
    <mergeCell ref="R10:R11"/>
    <mergeCell ref="S10:S11"/>
    <mergeCell ref="R12:R13"/>
    <mergeCell ref="B26:B27"/>
    <mergeCell ref="C26:C27"/>
    <mergeCell ref="B28:B29"/>
    <mergeCell ref="C28:C29"/>
    <mergeCell ref="B30:B31"/>
    <mergeCell ref="C30:C31"/>
    <mergeCell ref="B20:B21"/>
    <mergeCell ref="EN5:ES6"/>
    <mergeCell ref="EI8:EI9"/>
    <mergeCell ref="EJ8:EJ9"/>
    <mergeCell ref="EI10:EI11"/>
    <mergeCell ref="EJ10:EJ11"/>
    <mergeCell ref="EI12:EI13"/>
    <mergeCell ref="EJ12:EJ13"/>
    <mergeCell ref="EI14:EI15"/>
    <mergeCell ref="EJ14:EJ15"/>
    <mergeCell ref="DE25:DE26"/>
    <mergeCell ref="DE27:DE28"/>
    <mergeCell ref="DF5:DF6"/>
    <mergeCell ref="DF7:DF8"/>
    <mergeCell ref="DF9:DF10"/>
    <mergeCell ref="DF11:DF12"/>
    <mergeCell ref="DF13:DF14"/>
    <mergeCell ref="DF15:DF16"/>
    <mergeCell ref="DF17:DF18"/>
    <mergeCell ref="DF19:DF20"/>
    <mergeCell ref="DF21:DF22"/>
    <mergeCell ref="DF23:DF24"/>
    <mergeCell ref="DF25:DF26"/>
    <mergeCell ref="DF27:DF28"/>
    <mergeCell ref="DE5:DE6"/>
    <mergeCell ref="DE7:DE8"/>
    <mergeCell ref="DE9:DE10"/>
    <mergeCell ref="DE11:DE12"/>
    <mergeCell ref="DE13:DE14"/>
    <mergeCell ref="DE15:DE16"/>
    <mergeCell ref="DE17:DE18"/>
    <mergeCell ref="DE19:DE20"/>
    <mergeCell ref="DE21:DE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A45FB-CEE1-4EA7-8966-006896C9DB69}">
  <dimension ref="B3:BX35"/>
  <sheetViews>
    <sheetView workbookViewId="0">
      <selection activeCell="G19" sqref="G19"/>
    </sheetView>
  </sheetViews>
  <sheetFormatPr baseColWidth="10" defaultRowHeight="15" x14ac:dyDescent="0.25"/>
  <cols>
    <col min="2" max="2" width="15.7109375" bestFit="1" customWidth="1"/>
    <col min="3" max="3" width="25.5703125" bestFit="1" customWidth="1"/>
    <col min="4" max="4" width="19.42578125" customWidth="1"/>
    <col min="5" max="5" width="17.85546875" customWidth="1"/>
    <col min="6" max="6" width="17" customWidth="1"/>
    <col min="7" max="7" width="15.28515625" customWidth="1"/>
    <col min="16" max="16" width="15.5703125" customWidth="1"/>
    <col min="20" max="20" width="10.5703125" customWidth="1"/>
    <col min="21" max="21" width="17.42578125" customWidth="1"/>
    <col min="22" max="22" width="15.42578125" customWidth="1"/>
    <col min="23" max="23" width="18.140625" customWidth="1"/>
    <col min="24" max="24" width="16" customWidth="1"/>
    <col min="25" max="25" width="14.28515625" style="64" customWidth="1"/>
    <col min="41" max="41" width="7.28515625" customWidth="1"/>
    <col min="42" max="42" width="16" customWidth="1"/>
    <col min="43" max="43" width="20.7109375" customWidth="1"/>
    <col min="44" max="44" width="19.5703125" customWidth="1"/>
    <col min="45" max="45" width="19.42578125" customWidth="1"/>
  </cols>
  <sheetData>
    <row r="3" spans="2:76" ht="18.75" x14ac:dyDescent="0.3">
      <c r="BJ3" s="62"/>
      <c r="BK3" s="62"/>
      <c r="BL3" s="62"/>
      <c r="BM3" s="62"/>
      <c r="BN3" s="63"/>
      <c r="BO3" s="137"/>
      <c r="BP3" s="138"/>
      <c r="BQ3" s="138"/>
      <c r="BR3" s="138"/>
      <c r="BS3" s="138"/>
      <c r="BT3" s="139"/>
      <c r="BU3" s="62"/>
      <c r="BV3" s="62"/>
      <c r="BW3" s="62"/>
      <c r="BX3" s="62"/>
    </row>
    <row r="4" spans="2:76" ht="18.75" x14ac:dyDescent="0.3">
      <c r="BJ4" s="62"/>
      <c r="BK4" s="62"/>
      <c r="BL4" s="62"/>
      <c r="BM4" s="62"/>
      <c r="BN4" s="63"/>
      <c r="BO4" s="140"/>
      <c r="BP4" s="141"/>
      <c r="BQ4" s="141"/>
      <c r="BR4" s="141"/>
      <c r="BS4" s="141"/>
      <c r="BT4" s="142"/>
      <c r="BU4" s="62"/>
      <c r="BV4" s="62"/>
      <c r="BW4" s="62"/>
      <c r="BX4" s="62"/>
    </row>
    <row r="5" spans="2:76" ht="18.75" customHeight="1" x14ac:dyDescent="0.35">
      <c r="B5" s="62"/>
      <c r="C5" s="62"/>
      <c r="D5" s="62"/>
      <c r="E5" s="62"/>
      <c r="F5" s="62"/>
      <c r="G5" s="137" t="s">
        <v>517</v>
      </c>
      <c r="H5" s="138"/>
      <c r="I5" s="138"/>
      <c r="J5" s="138"/>
      <c r="K5" s="138"/>
      <c r="L5" s="139"/>
      <c r="M5" s="62"/>
      <c r="N5" s="62"/>
      <c r="O5" s="62"/>
      <c r="P5" s="62"/>
      <c r="U5" s="62"/>
      <c r="V5" s="62"/>
      <c r="W5" s="62"/>
      <c r="X5" s="62"/>
      <c r="Y5" s="63"/>
      <c r="Z5" s="137" t="s">
        <v>520</v>
      </c>
      <c r="AA5" s="138"/>
      <c r="AB5" s="138"/>
      <c r="AC5" s="138"/>
      <c r="AD5" s="138"/>
      <c r="AE5" s="139"/>
      <c r="AF5" s="62"/>
      <c r="AG5" s="62"/>
      <c r="AH5" s="62"/>
      <c r="AI5" s="62"/>
      <c r="AP5" s="62"/>
      <c r="AQ5" s="62"/>
      <c r="AR5" s="62"/>
      <c r="AS5" s="62"/>
      <c r="AT5" s="63"/>
      <c r="AU5" s="137" t="s">
        <v>521</v>
      </c>
      <c r="AV5" s="138"/>
      <c r="AW5" s="138"/>
      <c r="AX5" s="138"/>
      <c r="AY5" s="138"/>
      <c r="AZ5" s="139"/>
      <c r="BA5" s="62"/>
      <c r="BB5" s="62"/>
      <c r="BC5" s="62"/>
      <c r="BD5" s="62"/>
      <c r="BJ5" s="65" t="s">
        <v>230</v>
      </c>
      <c r="BK5" s="7" t="s">
        <v>1</v>
      </c>
      <c r="BL5" s="7" t="s">
        <v>2</v>
      </c>
      <c r="BM5" s="7" t="s">
        <v>3</v>
      </c>
      <c r="BN5" s="22" t="s">
        <v>4</v>
      </c>
      <c r="BO5" s="1" t="s">
        <v>5</v>
      </c>
      <c r="BP5" s="1" t="s">
        <v>6</v>
      </c>
      <c r="BQ5" s="1" t="s">
        <v>7</v>
      </c>
      <c r="BR5" s="1" t="s">
        <v>8</v>
      </c>
      <c r="BS5" s="1" t="s">
        <v>9</v>
      </c>
      <c r="BT5" s="1" t="s">
        <v>10</v>
      </c>
      <c r="BU5" s="1" t="s">
        <v>11</v>
      </c>
      <c r="BV5" s="1" t="s">
        <v>12</v>
      </c>
      <c r="BW5" s="1" t="s">
        <v>13</v>
      </c>
      <c r="BX5" s="1" t="s">
        <v>14</v>
      </c>
    </row>
    <row r="6" spans="2:76" ht="18.75" customHeight="1" x14ac:dyDescent="0.3">
      <c r="B6" s="62"/>
      <c r="C6" s="62"/>
      <c r="D6" s="62"/>
      <c r="E6" s="62"/>
      <c r="F6" s="62"/>
      <c r="G6" s="140"/>
      <c r="H6" s="141"/>
      <c r="I6" s="141"/>
      <c r="J6" s="141"/>
      <c r="K6" s="141"/>
      <c r="L6" s="142"/>
      <c r="M6" s="62"/>
      <c r="N6" s="62"/>
      <c r="O6" s="62"/>
      <c r="P6" s="62"/>
      <c r="U6" s="62"/>
      <c r="V6" s="62"/>
      <c r="W6" s="62"/>
      <c r="X6" s="62"/>
      <c r="Y6" s="63"/>
      <c r="Z6" s="140"/>
      <c r="AA6" s="141"/>
      <c r="AB6" s="141"/>
      <c r="AC6" s="141"/>
      <c r="AD6" s="141"/>
      <c r="AE6" s="142"/>
      <c r="AF6" s="62"/>
      <c r="AG6" s="62"/>
      <c r="AH6" s="62"/>
      <c r="AI6" s="62"/>
      <c r="AP6" s="62"/>
      <c r="AQ6" s="62"/>
      <c r="AR6" s="62"/>
      <c r="AS6" s="62"/>
      <c r="AT6" s="63"/>
      <c r="AU6" s="140"/>
      <c r="AV6" s="141"/>
      <c r="AW6" s="141"/>
      <c r="AX6" s="141"/>
      <c r="AY6" s="141"/>
      <c r="AZ6" s="142"/>
      <c r="BA6" s="62"/>
      <c r="BB6" s="62"/>
      <c r="BC6" s="62"/>
      <c r="BD6" s="62"/>
      <c r="BJ6" s="143"/>
      <c r="BK6" s="145"/>
      <c r="BL6" s="6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</row>
    <row r="7" spans="2:76" ht="21" x14ac:dyDescent="0.35">
      <c r="B7" s="65" t="s">
        <v>230</v>
      </c>
      <c r="C7" s="7" t="s">
        <v>1</v>
      </c>
      <c r="D7" s="7" t="s">
        <v>2</v>
      </c>
      <c r="E7" s="7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14</v>
      </c>
      <c r="U7" s="65" t="s">
        <v>230</v>
      </c>
      <c r="V7" s="7" t="s">
        <v>1</v>
      </c>
      <c r="W7" s="7" t="s">
        <v>2</v>
      </c>
      <c r="X7" s="7" t="s">
        <v>3</v>
      </c>
      <c r="Y7" s="22" t="s">
        <v>4</v>
      </c>
      <c r="Z7" s="1" t="s">
        <v>5</v>
      </c>
      <c r="AA7" s="1" t="s">
        <v>6</v>
      </c>
      <c r="AB7" s="1" t="s">
        <v>7</v>
      </c>
      <c r="AC7" s="1" t="s">
        <v>8</v>
      </c>
      <c r="AD7" s="1" t="s">
        <v>9</v>
      </c>
      <c r="AE7" s="1" t="s">
        <v>10</v>
      </c>
      <c r="AF7" s="1" t="s">
        <v>11</v>
      </c>
      <c r="AG7" s="1" t="s">
        <v>12</v>
      </c>
      <c r="AH7" s="1" t="s">
        <v>13</v>
      </c>
      <c r="AI7" s="1" t="s">
        <v>14</v>
      </c>
      <c r="AP7" s="65" t="s">
        <v>230</v>
      </c>
      <c r="AQ7" s="7" t="s">
        <v>1</v>
      </c>
      <c r="AR7" s="7" t="s">
        <v>2</v>
      </c>
      <c r="AS7" s="7" t="s">
        <v>3</v>
      </c>
      <c r="AT7" s="22" t="s">
        <v>4</v>
      </c>
      <c r="AU7" s="1" t="s">
        <v>5</v>
      </c>
      <c r="AV7" s="1" t="s">
        <v>6</v>
      </c>
      <c r="AW7" s="1" t="s">
        <v>7</v>
      </c>
      <c r="AX7" s="1" t="s">
        <v>8</v>
      </c>
      <c r="AY7" s="1" t="s">
        <v>9</v>
      </c>
      <c r="AZ7" s="1" t="s">
        <v>10</v>
      </c>
      <c r="BA7" s="1" t="s">
        <v>11</v>
      </c>
      <c r="BB7" s="1" t="s">
        <v>12</v>
      </c>
      <c r="BC7" s="1" t="s">
        <v>13</v>
      </c>
      <c r="BD7" s="1" t="s">
        <v>14</v>
      </c>
      <c r="BJ7" s="144"/>
      <c r="BK7" s="146"/>
      <c r="BL7" s="60"/>
      <c r="BM7" s="6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</row>
    <row r="8" spans="2:76" ht="18.75" x14ac:dyDescent="0.25">
      <c r="B8" s="143" t="s">
        <v>518</v>
      </c>
      <c r="C8" s="147"/>
      <c r="D8" s="60">
        <v>250</v>
      </c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U8" s="143" t="s">
        <v>518</v>
      </c>
      <c r="V8" s="145"/>
      <c r="W8" s="60">
        <v>250</v>
      </c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P8" s="143" t="s">
        <v>522</v>
      </c>
      <c r="AQ8" s="145"/>
      <c r="AR8" s="60">
        <v>250</v>
      </c>
      <c r="AS8" s="50">
        <v>1500</v>
      </c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J8" s="143"/>
      <c r="BK8" s="145"/>
      <c r="BL8" s="6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</row>
    <row r="9" spans="2:76" ht="18.75" customHeight="1" x14ac:dyDescent="0.25">
      <c r="B9" s="144"/>
      <c r="C9" s="148"/>
      <c r="D9" s="60" t="s">
        <v>519</v>
      </c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U9" s="144"/>
      <c r="V9" s="146"/>
      <c r="W9" s="60" t="s">
        <v>519</v>
      </c>
      <c r="X9" s="6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P9" s="144"/>
      <c r="AQ9" s="146"/>
      <c r="AR9" s="60" t="s">
        <v>519</v>
      </c>
      <c r="AS9" s="60" t="s">
        <v>519</v>
      </c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J9" s="144"/>
      <c r="BK9" s="146"/>
      <c r="BL9" s="6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</row>
    <row r="10" spans="2:76" ht="21" customHeight="1" x14ac:dyDescent="0.25">
      <c r="B10" s="143" t="s">
        <v>523</v>
      </c>
      <c r="C10" s="147" t="s">
        <v>525</v>
      </c>
      <c r="D10" s="60">
        <v>250</v>
      </c>
      <c r="E10" s="50">
        <v>1500</v>
      </c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U10" s="143"/>
      <c r="V10" s="145"/>
      <c r="W10" s="6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P10" s="143" t="s">
        <v>523</v>
      </c>
      <c r="AQ10" s="145" t="s">
        <v>655</v>
      </c>
      <c r="AR10" s="60">
        <v>250</v>
      </c>
      <c r="AS10" s="50">
        <v>1500</v>
      </c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J10" s="143"/>
      <c r="BK10" s="145"/>
      <c r="BL10" s="6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</row>
    <row r="11" spans="2:76" ht="18.75" x14ac:dyDescent="0.25">
      <c r="B11" s="144"/>
      <c r="C11" s="148"/>
      <c r="D11" s="60" t="s">
        <v>524</v>
      </c>
      <c r="E11" s="60" t="s">
        <v>524</v>
      </c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U11" s="144"/>
      <c r="V11" s="146"/>
      <c r="W11" s="6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P11" s="144"/>
      <c r="AQ11" s="146"/>
      <c r="AR11" s="60" t="s">
        <v>524</v>
      </c>
      <c r="AS11" s="60" t="s">
        <v>524</v>
      </c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J11" s="144"/>
      <c r="BK11" s="146"/>
      <c r="BL11" s="6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</row>
    <row r="12" spans="2:76" ht="18.75" x14ac:dyDescent="0.25">
      <c r="B12" s="143"/>
      <c r="C12" s="147"/>
      <c r="D12" s="6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U12" s="143"/>
      <c r="V12" s="145"/>
      <c r="W12" s="6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P12" s="143"/>
      <c r="AQ12" s="145"/>
      <c r="AR12" s="6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J12" s="143"/>
      <c r="BK12" s="145"/>
      <c r="BL12" s="6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</row>
    <row r="13" spans="2:76" ht="18.75" x14ac:dyDescent="0.25">
      <c r="B13" s="144"/>
      <c r="C13" s="148"/>
      <c r="D13" s="6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U13" s="144"/>
      <c r="V13" s="146"/>
      <c r="W13" s="6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P13" s="144"/>
      <c r="AQ13" s="146"/>
      <c r="AR13" s="6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J13" s="144"/>
      <c r="BK13" s="146"/>
      <c r="BL13" s="6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</row>
    <row r="14" spans="2:76" ht="18.75" x14ac:dyDescent="0.25">
      <c r="B14" s="143"/>
      <c r="C14" s="147"/>
      <c r="D14" s="6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U14" s="143"/>
      <c r="V14" s="145"/>
      <c r="W14" s="6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P14" s="143"/>
      <c r="AQ14" s="145"/>
      <c r="AR14" s="6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J14" s="143"/>
      <c r="BK14" s="145"/>
      <c r="BL14" s="6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</row>
    <row r="15" spans="2:76" ht="18.75" x14ac:dyDescent="0.25">
      <c r="B15" s="144"/>
      <c r="C15" s="148"/>
      <c r="D15" s="6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U15" s="144"/>
      <c r="V15" s="146"/>
      <c r="W15" s="6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P15" s="144"/>
      <c r="AQ15" s="146"/>
      <c r="AR15" s="6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J15" s="144"/>
      <c r="BK15" s="146"/>
      <c r="BL15" s="6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</row>
    <row r="16" spans="2:76" ht="18.75" x14ac:dyDescent="0.25">
      <c r="B16" s="143"/>
      <c r="C16" s="147"/>
      <c r="D16" s="6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U16" s="143"/>
      <c r="V16" s="145"/>
      <c r="W16" s="6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P16" s="143"/>
      <c r="AQ16" s="145"/>
      <c r="AR16" s="6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J16" s="143"/>
      <c r="BK16" s="145"/>
      <c r="BL16" s="51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</row>
    <row r="17" spans="2:76" ht="18.75" x14ac:dyDescent="0.25">
      <c r="B17" s="144"/>
      <c r="C17" s="148"/>
      <c r="D17" s="6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U17" s="144"/>
      <c r="V17" s="146"/>
      <c r="W17" s="6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P17" s="144"/>
      <c r="AQ17" s="146"/>
      <c r="AR17" s="6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J17" s="144"/>
      <c r="BK17" s="146"/>
      <c r="BL17" s="51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</row>
    <row r="18" spans="2:76" ht="18.75" x14ac:dyDescent="0.25">
      <c r="B18" s="143"/>
      <c r="C18" s="147"/>
      <c r="D18" s="51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U18" s="143"/>
      <c r="V18" s="145"/>
      <c r="W18" s="51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P18" s="143"/>
      <c r="AQ18" s="145"/>
      <c r="AR18" s="51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J18" s="143"/>
      <c r="BK18" s="145"/>
      <c r="BL18" s="6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</row>
    <row r="19" spans="2:76" ht="18.75" x14ac:dyDescent="0.25">
      <c r="B19" s="144"/>
      <c r="C19" s="148"/>
      <c r="D19" s="51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U19" s="144"/>
      <c r="V19" s="146"/>
      <c r="W19" s="51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P19" s="144"/>
      <c r="AQ19" s="146"/>
      <c r="AR19" s="51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J19" s="144"/>
      <c r="BK19" s="146"/>
      <c r="BL19" s="6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</row>
    <row r="20" spans="2:76" ht="18.75" x14ac:dyDescent="0.25">
      <c r="B20" s="143"/>
      <c r="C20" s="147"/>
      <c r="D20" s="6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U20" s="143"/>
      <c r="V20" s="145"/>
      <c r="W20" s="6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P20" s="143"/>
      <c r="AQ20" s="145"/>
      <c r="AR20" s="6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J20" s="143"/>
      <c r="BK20" s="145"/>
      <c r="BL20" s="6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</row>
    <row r="21" spans="2:76" ht="18.75" x14ac:dyDescent="0.25">
      <c r="B21" s="144"/>
      <c r="C21" s="148"/>
      <c r="D21" s="6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U21" s="144"/>
      <c r="V21" s="146"/>
      <c r="W21" s="6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P21" s="144"/>
      <c r="AQ21" s="146"/>
      <c r="AR21" s="6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J21" s="144"/>
      <c r="BK21" s="146"/>
      <c r="BL21" s="6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</row>
    <row r="22" spans="2:76" ht="18.75" x14ac:dyDescent="0.25">
      <c r="B22" s="143"/>
      <c r="C22" s="147"/>
      <c r="D22" s="6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U22" s="143"/>
      <c r="V22" s="145"/>
      <c r="W22" s="6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P22" s="143"/>
      <c r="AQ22" s="145"/>
      <c r="AR22" s="6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J22" s="143"/>
      <c r="BK22" s="145"/>
      <c r="BL22" s="6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</row>
    <row r="23" spans="2:76" ht="18.75" x14ac:dyDescent="0.25">
      <c r="B23" s="144"/>
      <c r="C23" s="148"/>
      <c r="D23" s="6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U23" s="144"/>
      <c r="V23" s="146"/>
      <c r="W23" s="6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P23" s="144"/>
      <c r="AQ23" s="146"/>
      <c r="AR23" s="6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J23" s="144"/>
      <c r="BK23" s="146"/>
      <c r="BL23" s="6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</row>
    <row r="24" spans="2:76" ht="18.75" x14ac:dyDescent="0.25">
      <c r="B24" s="143"/>
      <c r="C24" s="147"/>
      <c r="D24" s="6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U24" s="143"/>
      <c r="V24" s="145"/>
      <c r="W24" s="6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P24" s="143"/>
      <c r="AQ24" s="145"/>
      <c r="AR24" s="6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J24" s="143"/>
      <c r="BK24" s="145"/>
      <c r="BL24" s="6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</row>
    <row r="25" spans="2:76" ht="18.75" x14ac:dyDescent="0.25">
      <c r="B25" s="144"/>
      <c r="C25" s="148"/>
      <c r="D25" s="6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U25" s="144"/>
      <c r="V25" s="146"/>
      <c r="W25" s="6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P25" s="144"/>
      <c r="AQ25" s="146"/>
      <c r="AR25" s="6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J25" s="144"/>
      <c r="BK25" s="146"/>
      <c r="BL25" s="6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</row>
    <row r="26" spans="2:76" ht="18.75" x14ac:dyDescent="0.25">
      <c r="B26" s="143"/>
      <c r="C26" s="147"/>
      <c r="D26" s="6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U26" s="143"/>
      <c r="V26" s="145"/>
      <c r="W26" s="6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P26" s="143"/>
      <c r="AQ26" s="145"/>
      <c r="AR26" s="6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J26" s="143"/>
      <c r="BK26" s="145"/>
      <c r="BL26" s="6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</row>
    <row r="27" spans="2:76" ht="18.75" x14ac:dyDescent="0.25">
      <c r="B27" s="144"/>
      <c r="C27" s="148"/>
      <c r="D27" s="6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U27" s="144"/>
      <c r="V27" s="146"/>
      <c r="W27" s="6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P27" s="144"/>
      <c r="AQ27" s="146"/>
      <c r="AR27" s="6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J27" s="144"/>
      <c r="BK27" s="146"/>
      <c r="BL27" s="6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</row>
    <row r="28" spans="2:76" ht="18.75" x14ac:dyDescent="0.25">
      <c r="B28" s="143"/>
      <c r="C28" s="147"/>
      <c r="D28" s="6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U28" s="143"/>
      <c r="V28" s="145"/>
      <c r="W28" s="6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P28" s="143"/>
      <c r="AQ28" s="145"/>
      <c r="AR28" s="6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J28" s="143"/>
      <c r="BK28" s="145"/>
      <c r="BL28" s="6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</row>
    <row r="29" spans="2:76" ht="18.75" x14ac:dyDescent="0.25">
      <c r="B29" s="144"/>
      <c r="C29" s="148"/>
      <c r="D29" s="6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U29" s="144"/>
      <c r="V29" s="146"/>
      <c r="W29" s="6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P29" s="144"/>
      <c r="AQ29" s="146"/>
      <c r="AR29" s="6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J29" s="144"/>
      <c r="BK29" s="146"/>
      <c r="BL29" s="6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</row>
    <row r="30" spans="2:76" ht="18.75" x14ac:dyDescent="0.25">
      <c r="B30" s="143"/>
      <c r="C30" s="147"/>
      <c r="D30" s="6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U30" s="143"/>
      <c r="V30" s="145"/>
      <c r="W30" s="6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P30" s="143"/>
      <c r="AQ30" s="145"/>
      <c r="AR30" s="6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J30" s="143"/>
      <c r="BK30" s="145"/>
      <c r="BL30" s="6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</row>
    <row r="31" spans="2:76" ht="18.75" x14ac:dyDescent="0.25">
      <c r="B31" s="144"/>
      <c r="C31" s="148"/>
      <c r="D31" s="6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U31" s="144"/>
      <c r="V31" s="146"/>
      <c r="W31" s="6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P31" s="144"/>
      <c r="AQ31" s="146"/>
      <c r="AR31" s="6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J31" s="144"/>
      <c r="BK31" s="146"/>
      <c r="BL31" s="6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</row>
    <row r="32" spans="2:76" ht="18.75" x14ac:dyDescent="0.25">
      <c r="B32" s="143"/>
      <c r="C32" s="147"/>
      <c r="D32" s="6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U32" s="143"/>
      <c r="V32" s="145"/>
      <c r="W32" s="6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P32" s="143"/>
      <c r="AQ32" s="145"/>
      <c r="AR32" s="6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J32" s="143"/>
      <c r="BK32" s="145"/>
      <c r="BL32" s="6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</row>
    <row r="33" spans="2:76" ht="18.75" x14ac:dyDescent="0.25">
      <c r="B33" s="144"/>
      <c r="C33" s="148"/>
      <c r="D33" s="6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U33" s="144"/>
      <c r="V33" s="146"/>
      <c r="W33" s="6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P33" s="144"/>
      <c r="AQ33" s="146"/>
      <c r="AR33" s="6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J33" s="144"/>
      <c r="BK33" s="146"/>
      <c r="BL33" s="6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</row>
    <row r="34" spans="2:76" ht="18.75" x14ac:dyDescent="0.25">
      <c r="B34" s="143"/>
      <c r="C34" s="147"/>
      <c r="D34" s="6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U34" s="143"/>
      <c r="V34" s="145"/>
      <c r="W34" s="6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P34" s="143"/>
      <c r="AQ34" s="145"/>
      <c r="AR34" s="6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</row>
    <row r="35" spans="2:76" ht="18.75" x14ac:dyDescent="0.25">
      <c r="B35" s="144"/>
      <c r="C35" s="148"/>
      <c r="D35" s="6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U35" s="144"/>
      <c r="V35" s="146"/>
      <c r="W35" s="6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P35" s="144"/>
      <c r="AQ35" s="146"/>
      <c r="AR35" s="6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</row>
  </sheetData>
  <mergeCells count="116">
    <mergeCell ref="B34:B35"/>
    <mergeCell ref="C34:C35"/>
    <mergeCell ref="B26:B27"/>
    <mergeCell ref="C26:C27"/>
    <mergeCell ref="B28:B29"/>
    <mergeCell ref="C28:C29"/>
    <mergeCell ref="B30:B31"/>
    <mergeCell ref="C30:C31"/>
    <mergeCell ref="B20:B21"/>
    <mergeCell ref="C20:C21"/>
    <mergeCell ref="B22:B23"/>
    <mergeCell ref="C22:C23"/>
    <mergeCell ref="B24:B25"/>
    <mergeCell ref="C24:C25"/>
    <mergeCell ref="Z5:AE6"/>
    <mergeCell ref="U8:U9"/>
    <mergeCell ref="V8:V9"/>
    <mergeCell ref="U10:U11"/>
    <mergeCell ref="V10:V11"/>
    <mergeCell ref="U12:U13"/>
    <mergeCell ref="B32:B33"/>
    <mergeCell ref="C32:C33"/>
    <mergeCell ref="C12:C13"/>
    <mergeCell ref="B14:B15"/>
    <mergeCell ref="C14:C15"/>
    <mergeCell ref="B16:B17"/>
    <mergeCell ref="C16:C17"/>
    <mergeCell ref="B18:B19"/>
    <mergeCell ref="C18:C19"/>
    <mergeCell ref="G5:L6"/>
    <mergeCell ref="B8:B9"/>
    <mergeCell ref="C8:C9"/>
    <mergeCell ref="B10:B11"/>
    <mergeCell ref="C10:C11"/>
    <mergeCell ref="B12:B13"/>
    <mergeCell ref="U32:U33"/>
    <mergeCell ref="V32:V33"/>
    <mergeCell ref="U34:U35"/>
    <mergeCell ref="V34:V35"/>
    <mergeCell ref="AQ8:AQ9"/>
    <mergeCell ref="AQ10:AQ11"/>
    <mergeCell ref="AQ12:AQ13"/>
    <mergeCell ref="U26:U27"/>
    <mergeCell ref="V26:V27"/>
    <mergeCell ref="U28:U29"/>
    <mergeCell ref="V28:V29"/>
    <mergeCell ref="U30:U31"/>
    <mergeCell ref="V30:V31"/>
    <mergeCell ref="U20:U21"/>
    <mergeCell ref="V20:V21"/>
    <mergeCell ref="U22:U23"/>
    <mergeCell ref="V22:V23"/>
    <mergeCell ref="U24:U25"/>
    <mergeCell ref="V24:V25"/>
    <mergeCell ref="V12:V13"/>
    <mergeCell ref="U14:U15"/>
    <mergeCell ref="V14:V15"/>
    <mergeCell ref="U16:U17"/>
    <mergeCell ref="V16:V17"/>
    <mergeCell ref="U18:U19"/>
    <mergeCell ref="V18:V19"/>
    <mergeCell ref="AU5:AZ6"/>
    <mergeCell ref="AP8:AP9"/>
    <mergeCell ref="AP10:AP11"/>
    <mergeCell ref="AP12:AP13"/>
    <mergeCell ref="AP14:AP15"/>
    <mergeCell ref="AP16:AP17"/>
    <mergeCell ref="AQ32:AQ33"/>
    <mergeCell ref="AQ34:AQ35"/>
    <mergeCell ref="AQ26:AQ27"/>
    <mergeCell ref="AQ28:AQ29"/>
    <mergeCell ref="AQ30:AQ31"/>
    <mergeCell ref="AQ20:AQ21"/>
    <mergeCell ref="AQ22:AQ23"/>
    <mergeCell ref="AQ24:AQ25"/>
    <mergeCell ref="AQ14:AQ15"/>
    <mergeCell ref="AQ16:AQ17"/>
    <mergeCell ref="AQ18:AQ19"/>
    <mergeCell ref="BJ8:BJ9"/>
    <mergeCell ref="BK8:BK9"/>
    <mergeCell ref="BJ10:BJ11"/>
    <mergeCell ref="BK10:BK11"/>
    <mergeCell ref="BJ12:BJ13"/>
    <mergeCell ref="AP30:AP31"/>
    <mergeCell ref="AP32:AP33"/>
    <mergeCell ref="AP34:AP35"/>
    <mergeCell ref="AP18:AP19"/>
    <mergeCell ref="AP20:AP21"/>
    <mergeCell ref="AP22:AP23"/>
    <mergeCell ref="AP24:AP25"/>
    <mergeCell ref="AP26:AP27"/>
    <mergeCell ref="AP28:AP29"/>
    <mergeCell ref="BO3:BT4"/>
    <mergeCell ref="BJ6:BJ7"/>
    <mergeCell ref="BK6:BK7"/>
    <mergeCell ref="BJ32:BJ33"/>
    <mergeCell ref="BK32:BK33"/>
    <mergeCell ref="BJ26:BJ27"/>
    <mergeCell ref="BK26:BK27"/>
    <mergeCell ref="BJ28:BJ29"/>
    <mergeCell ref="BK28:BK29"/>
    <mergeCell ref="BJ30:BJ31"/>
    <mergeCell ref="BK30:BK31"/>
    <mergeCell ref="BJ20:BJ21"/>
    <mergeCell ref="BK20:BK21"/>
    <mergeCell ref="BJ22:BJ23"/>
    <mergeCell ref="BK22:BK23"/>
    <mergeCell ref="BJ24:BJ25"/>
    <mergeCell ref="BK24:BK25"/>
    <mergeCell ref="BK12:BK13"/>
    <mergeCell ref="BJ14:BJ15"/>
    <mergeCell ref="BK14:BK15"/>
    <mergeCell ref="BJ16:BJ17"/>
    <mergeCell ref="BK16:BK17"/>
    <mergeCell ref="BJ18:BJ19"/>
    <mergeCell ref="BK18:BK19"/>
  </mergeCells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F98C9-6016-42A5-8CDC-A6E450938ABD}">
  <dimension ref="C4:AI34"/>
  <sheetViews>
    <sheetView rightToLeft="1" workbookViewId="0">
      <selection activeCell="F15" sqref="F15"/>
    </sheetView>
  </sheetViews>
  <sheetFormatPr baseColWidth="10" defaultRowHeight="15" x14ac:dyDescent="0.25"/>
  <cols>
    <col min="3" max="3" width="19" customWidth="1"/>
    <col min="4" max="4" width="25.5703125" bestFit="1" customWidth="1"/>
    <col min="5" max="5" width="22.7109375" customWidth="1"/>
    <col min="6" max="6" width="20" bestFit="1" customWidth="1"/>
    <col min="7" max="7" width="16.5703125" customWidth="1"/>
    <col min="21" max="21" width="18.140625" customWidth="1"/>
    <col min="22" max="22" width="18.5703125" customWidth="1"/>
    <col min="23" max="23" width="20.5703125" customWidth="1"/>
    <col min="24" max="24" width="23.7109375" customWidth="1"/>
  </cols>
  <sheetData>
    <row r="4" spans="3:35" ht="28.5" customHeight="1" x14ac:dyDescent="0.3">
      <c r="C4" s="62"/>
      <c r="D4" s="62"/>
      <c r="E4" s="62"/>
      <c r="F4" s="62"/>
      <c r="G4" s="149" t="s">
        <v>533</v>
      </c>
      <c r="H4" s="149"/>
      <c r="I4" s="149"/>
      <c r="J4" s="149"/>
      <c r="K4" s="149"/>
      <c r="L4" s="149"/>
      <c r="M4" s="150"/>
      <c r="N4" s="62"/>
      <c r="O4" s="62"/>
      <c r="P4" s="62"/>
      <c r="Q4" s="62"/>
      <c r="U4" s="62"/>
      <c r="V4" s="62"/>
      <c r="W4" s="62"/>
      <c r="X4" s="62"/>
      <c r="Y4" s="149" t="s">
        <v>537</v>
      </c>
      <c r="Z4" s="149"/>
      <c r="AA4" s="149"/>
      <c r="AB4" s="149"/>
      <c r="AC4" s="149"/>
      <c r="AD4" s="149"/>
      <c r="AE4" s="150"/>
      <c r="AF4" s="62"/>
      <c r="AG4" s="62"/>
      <c r="AH4" s="62"/>
      <c r="AI4" s="62"/>
    </row>
    <row r="5" spans="3:35" ht="18.75" customHeight="1" x14ac:dyDescent="0.3">
      <c r="C5" s="62"/>
      <c r="D5" s="62"/>
      <c r="E5" s="62"/>
      <c r="F5" s="62"/>
      <c r="G5" s="151"/>
      <c r="H5" s="151"/>
      <c r="I5" s="151"/>
      <c r="J5" s="151"/>
      <c r="K5" s="151"/>
      <c r="L5" s="151"/>
      <c r="M5" s="152"/>
      <c r="N5" s="62"/>
      <c r="O5" s="62"/>
      <c r="P5" s="62"/>
      <c r="Q5" s="62"/>
      <c r="U5" s="62"/>
      <c r="V5" s="62"/>
      <c r="W5" s="62"/>
      <c r="X5" s="62"/>
      <c r="Y5" s="151"/>
      <c r="Z5" s="151"/>
      <c r="AA5" s="151"/>
      <c r="AB5" s="151"/>
      <c r="AC5" s="151"/>
      <c r="AD5" s="151"/>
      <c r="AE5" s="152"/>
      <c r="AF5" s="62"/>
      <c r="AG5" s="62"/>
      <c r="AH5" s="62"/>
      <c r="AI5" s="62"/>
    </row>
    <row r="6" spans="3:35" ht="21" x14ac:dyDescent="0.35">
      <c r="C6" s="65" t="s">
        <v>230</v>
      </c>
      <c r="D6" s="7" t="s">
        <v>1</v>
      </c>
      <c r="E6" s="7" t="s">
        <v>2</v>
      </c>
      <c r="F6" s="7" t="s">
        <v>3</v>
      </c>
      <c r="G6" s="1" t="s">
        <v>4</v>
      </c>
      <c r="H6" s="1" t="s">
        <v>5</v>
      </c>
      <c r="I6" s="1" t="s">
        <v>6</v>
      </c>
      <c r="J6" s="1" t="s">
        <v>7</v>
      </c>
      <c r="K6" s="1" t="s">
        <v>8</v>
      </c>
      <c r="L6" s="1" t="s">
        <v>9</v>
      </c>
      <c r="M6" s="1" t="s">
        <v>10</v>
      </c>
      <c r="N6" s="1" t="s">
        <v>11</v>
      </c>
      <c r="O6" s="1" t="s">
        <v>12</v>
      </c>
      <c r="P6" s="1" t="s">
        <v>13</v>
      </c>
      <c r="Q6" s="1" t="s">
        <v>14</v>
      </c>
      <c r="U6" s="65" t="s">
        <v>230</v>
      </c>
      <c r="V6" s="7" t="s">
        <v>1</v>
      </c>
      <c r="W6" s="7" t="s">
        <v>2</v>
      </c>
      <c r="X6" s="7" t="s">
        <v>3</v>
      </c>
      <c r="Y6" s="1" t="s">
        <v>4</v>
      </c>
      <c r="Z6" s="1" t="s">
        <v>5</v>
      </c>
      <c r="AA6" s="1" t="s">
        <v>6</v>
      </c>
      <c r="AB6" s="1" t="s">
        <v>7</v>
      </c>
      <c r="AC6" s="1" t="s">
        <v>8</v>
      </c>
      <c r="AD6" s="1" t="s">
        <v>9</v>
      </c>
      <c r="AE6" s="1" t="s">
        <v>10</v>
      </c>
      <c r="AF6" s="1" t="s">
        <v>11</v>
      </c>
      <c r="AG6" s="1" t="s">
        <v>12</v>
      </c>
      <c r="AH6" s="1" t="s">
        <v>13</v>
      </c>
      <c r="AI6" s="1" t="s">
        <v>14</v>
      </c>
    </row>
    <row r="7" spans="3:35" ht="18.75" x14ac:dyDescent="0.25">
      <c r="C7" s="143" t="s">
        <v>534</v>
      </c>
      <c r="D7" s="147"/>
      <c r="E7" s="66" t="s">
        <v>536</v>
      </c>
      <c r="F7" s="57">
        <v>1500</v>
      </c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U7" s="143" t="s">
        <v>534</v>
      </c>
      <c r="V7" s="147"/>
      <c r="W7" s="66" t="s">
        <v>536</v>
      </c>
      <c r="X7" s="57">
        <v>1500</v>
      </c>
      <c r="Y7" s="57"/>
      <c r="Z7" s="57"/>
      <c r="AA7" s="57"/>
      <c r="AB7" s="57"/>
      <c r="AC7" s="57"/>
      <c r="AD7" s="57"/>
      <c r="AE7" s="57"/>
      <c r="AF7" s="57"/>
      <c r="AG7" s="57"/>
      <c r="AH7" s="57"/>
      <c r="AI7" s="57"/>
    </row>
    <row r="8" spans="3:35" ht="18.75" customHeight="1" x14ac:dyDescent="0.25">
      <c r="C8" s="144"/>
      <c r="D8" s="148"/>
      <c r="E8" s="66" t="s">
        <v>535</v>
      </c>
      <c r="F8" s="58" t="s">
        <v>535</v>
      </c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U8" s="144"/>
      <c r="V8" s="148"/>
      <c r="W8" s="66" t="s">
        <v>538</v>
      </c>
      <c r="X8" s="58" t="s">
        <v>535</v>
      </c>
      <c r="Y8" s="57"/>
      <c r="Z8" s="57"/>
      <c r="AA8" s="57"/>
      <c r="AB8" s="57"/>
      <c r="AC8" s="57"/>
      <c r="AD8" s="57"/>
      <c r="AE8" s="57"/>
      <c r="AF8" s="57"/>
      <c r="AG8" s="57"/>
      <c r="AH8" s="57"/>
      <c r="AI8" s="57"/>
    </row>
    <row r="9" spans="3:35" ht="18.75" x14ac:dyDescent="0.25">
      <c r="C9" s="143"/>
      <c r="D9" s="59"/>
      <c r="E9" s="60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U9" s="143"/>
      <c r="V9" s="59"/>
      <c r="W9" s="60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</row>
    <row r="10" spans="3:35" ht="18.75" x14ac:dyDescent="0.25">
      <c r="C10" s="144"/>
      <c r="D10" s="61"/>
      <c r="E10" s="60"/>
      <c r="F10" s="60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U10" s="144"/>
      <c r="V10" s="61"/>
      <c r="W10" s="60"/>
      <c r="X10" s="60"/>
      <c r="Y10" s="57"/>
      <c r="Z10" s="57"/>
      <c r="AA10" s="57"/>
      <c r="AB10" s="57"/>
      <c r="AC10" s="57"/>
      <c r="AD10" s="57"/>
      <c r="AE10" s="57"/>
      <c r="AF10" s="57"/>
      <c r="AG10" s="57"/>
      <c r="AH10" s="57"/>
      <c r="AI10" s="57"/>
    </row>
    <row r="11" spans="3:35" ht="18.75" x14ac:dyDescent="0.25">
      <c r="C11" s="143"/>
      <c r="D11" s="59"/>
      <c r="E11" s="60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U11" s="143"/>
      <c r="V11" s="59"/>
      <c r="W11" s="60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spans="3:35" ht="18.75" x14ac:dyDescent="0.25">
      <c r="C12" s="144"/>
      <c r="D12" s="61"/>
      <c r="E12" s="60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U12" s="144"/>
      <c r="V12" s="61"/>
      <c r="W12" s="60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</row>
    <row r="13" spans="3:35" ht="18.75" x14ac:dyDescent="0.25">
      <c r="C13" s="143"/>
      <c r="D13" s="59"/>
      <c r="E13" s="60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U13" s="143"/>
      <c r="V13" s="59"/>
      <c r="W13" s="60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</row>
    <row r="14" spans="3:35" ht="18.75" x14ac:dyDescent="0.25">
      <c r="C14" s="144"/>
      <c r="D14" s="61"/>
      <c r="E14" s="60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U14" s="144"/>
      <c r="V14" s="61"/>
      <c r="W14" s="60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</row>
    <row r="15" spans="3:35" ht="18.75" x14ac:dyDescent="0.25">
      <c r="C15" s="54"/>
      <c r="D15" s="59"/>
      <c r="E15" s="60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U15" s="54"/>
      <c r="V15" s="59"/>
      <c r="W15" s="60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</row>
    <row r="16" spans="3:35" ht="18.75" x14ac:dyDescent="0.25">
      <c r="C16" s="55"/>
      <c r="D16" s="61"/>
      <c r="E16" s="60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S16" t="s">
        <v>632</v>
      </c>
      <c r="U16" s="55"/>
      <c r="V16" s="61"/>
      <c r="W16" s="60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spans="3:35" ht="18.75" x14ac:dyDescent="0.25">
      <c r="C17" s="54"/>
      <c r="D17" s="59"/>
      <c r="E17" s="58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U17" s="54"/>
      <c r="V17" s="59"/>
      <c r="W17" s="58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</row>
    <row r="18" spans="3:35" ht="18.75" x14ac:dyDescent="0.25">
      <c r="C18" s="55"/>
      <c r="D18" s="61"/>
      <c r="E18" s="58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U18" s="55"/>
      <c r="V18" s="61"/>
      <c r="W18" s="58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</row>
    <row r="19" spans="3:35" ht="18.75" x14ac:dyDescent="0.25">
      <c r="C19" s="54"/>
      <c r="D19" s="59"/>
      <c r="E19" s="60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U19" s="54"/>
      <c r="V19" s="59"/>
      <c r="W19" s="60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</row>
    <row r="20" spans="3:35" ht="18.75" x14ac:dyDescent="0.25">
      <c r="C20" s="55"/>
      <c r="D20" s="61"/>
      <c r="E20" s="60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U20" s="55"/>
      <c r="V20" s="61"/>
      <c r="W20" s="60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</row>
    <row r="21" spans="3:35" ht="18.75" x14ac:dyDescent="0.25">
      <c r="C21" s="54"/>
      <c r="D21" s="59"/>
      <c r="E21" s="60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U21" s="54"/>
      <c r="V21" s="59"/>
      <c r="W21" s="60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</row>
    <row r="22" spans="3:35" ht="18.75" x14ac:dyDescent="0.25">
      <c r="C22" s="55"/>
      <c r="D22" s="61"/>
      <c r="E22" s="60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U22" s="55"/>
      <c r="V22" s="61"/>
      <c r="W22" s="60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spans="3:35" ht="18.75" x14ac:dyDescent="0.25">
      <c r="C23" s="54"/>
      <c r="D23" s="59"/>
      <c r="E23" s="60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U23" s="54"/>
      <c r="V23" s="59"/>
      <c r="W23" s="60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</row>
    <row r="24" spans="3:35" ht="18.75" x14ac:dyDescent="0.25">
      <c r="C24" s="55"/>
      <c r="D24" s="61"/>
      <c r="E24" s="60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U24" s="55"/>
      <c r="V24" s="61"/>
      <c r="W24" s="60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spans="3:35" ht="18.75" x14ac:dyDescent="0.25">
      <c r="C25" s="54"/>
      <c r="D25" s="59"/>
      <c r="E25" s="60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U25" s="54"/>
      <c r="V25" s="59"/>
      <c r="W25" s="60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</row>
    <row r="26" spans="3:35" ht="18.75" x14ac:dyDescent="0.25">
      <c r="C26" s="55"/>
      <c r="D26" s="61"/>
      <c r="E26" s="60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U26" s="55"/>
      <c r="V26" s="61"/>
      <c r="W26" s="60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</row>
    <row r="27" spans="3:35" ht="18.75" x14ac:dyDescent="0.25">
      <c r="C27" s="54"/>
      <c r="D27" s="59"/>
      <c r="E27" s="60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U27" s="54"/>
      <c r="V27" s="59"/>
      <c r="W27" s="60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spans="3:35" ht="18.75" x14ac:dyDescent="0.25">
      <c r="C28" s="55"/>
      <c r="D28" s="61"/>
      <c r="E28" s="60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U28" s="55"/>
      <c r="V28" s="61"/>
      <c r="W28" s="60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spans="3:35" ht="18.75" x14ac:dyDescent="0.25">
      <c r="C29" s="54"/>
      <c r="D29" s="59"/>
      <c r="E29" s="60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U29" s="54"/>
      <c r="V29" s="59"/>
      <c r="W29" s="60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</row>
    <row r="30" spans="3:35" ht="18.75" x14ac:dyDescent="0.25">
      <c r="C30" s="55"/>
      <c r="D30" s="61"/>
      <c r="E30" s="60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U30" s="55"/>
      <c r="V30" s="61"/>
      <c r="W30" s="60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</row>
    <row r="31" spans="3:35" ht="18.75" x14ac:dyDescent="0.25">
      <c r="C31" s="143"/>
      <c r="D31" s="147"/>
      <c r="E31" s="60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U31" s="143"/>
      <c r="V31" s="147"/>
      <c r="W31" s="60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spans="3:35" ht="18.75" x14ac:dyDescent="0.25">
      <c r="C32" s="144"/>
      <c r="D32" s="148"/>
      <c r="E32" s="60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U32" s="144"/>
      <c r="V32" s="148"/>
      <c r="W32" s="60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spans="3:35" ht="18.75" x14ac:dyDescent="0.25">
      <c r="C33" s="143"/>
      <c r="D33" s="147"/>
      <c r="E33" s="60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U33" s="143"/>
      <c r="V33" s="147"/>
      <c r="W33" s="60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</row>
    <row r="34" spans="3:35" ht="18.75" x14ac:dyDescent="0.25">
      <c r="C34" s="144"/>
      <c r="D34" s="148"/>
      <c r="E34" s="60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U34" s="144"/>
      <c r="V34" s="148"/>
      <c r="W34" s="60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</sheetData>
  <mergeCells count="20">
    <mergeCell ref="U31:U32"/>
    <mergeCell ref="V31:V32"/>
    <mergeCell ref="U33:U34"/>
    <mergeCell ref="V33:V34"/>
    <mergeCell ref="Y4:AE5"/>
    <mergeCell ref="U7:U8"/>
    <mergeCell ref="V7:V8"/>
    <mergeCell ref="U9:U10"/>
    <mergeCell ref="U11:U12"/>
    <mergeCell ref="U13:U14"/>
    <mergeCell ref="C31:C32"/>
    <mergeCell ref="D31:D32"/>
    <mergeCell ref="C33:C34"/>
    <mergeCell ref="D33:D34"/>
    <mergeCell ref="G4:M5"/>
    <mergeCell ref="C7:C8"/>
    <mergeCell ref="C9:C10"/>
    <mergeCell ref="D7:D8"/>
    <mergeCell ref="C11:C12"/>
    <mergeCell ref="C13:C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F94E6-0F7F-4B42-B909-5F95CD9C377E}">
  <dimension ref="B3:BL47"/>
  <sheetViews>
    <sheetView rightToLeft="1" topLeftCell="H1" workbookViewId="0">
      <selection activeCell="R30" sqref="R30:U31"/>
    </sheetView>
  </sheetViews>
  <sheetFormatPr baseColWidth="10" defaultRowHeight="15" x14ac:dyDescent="0.25"/>
  <cols>
    <col min="2" max="2" width="15.5703125" customWidth="1"/>
    <col min="3" max="3" width="23" bestFit="1" customWidth="1"/>
    <col min="4" max="4" width="20.7109375" customWidth="1"/>
    <col min="5" max="5" width="22.7109375" customWidth="1"/>
    <col min="6" max="6" width="14" customWidth="1"/>
    <col min="18" max="18" width="18.28515625" customWidth="1"/>
    <col min="19" max="19" width="23" bestFit="1" customWidth="1"/>
    <col min="20" max="20" width="20.5703125" customWidth="1"/>
    <col min="21" max="21" width="21.28515625" customWidth="1"/>
    <col min="34" max="34" width="21.7109375" customWidth="1"/>
    <col min="35" max="35" width="17.5703125" customWidth="1"/>
    <col min="36" max="36" width="21.85546875" customWidth="1"/>
    <col min="37" max="37" width="18.7109375" bestFit="1" customWidth="1"/>
    <col min="50" max="50" width="17.28515625" customWidth="1"/>
    <col min="51" max="51" width="16.140625" customWidth="1"/>
    <col min="52" max="53" width="18.7109375" bestFit="1" customWidth="1"/>
    <col min="54" max="54" width="13.7109375" customWidth="1"/>
    <col min="55" max="55" width="14.42578125" customWidth="1"/>
  </cols>
  <sheetData>
    <row r="3" spans="2:64" ht="15" customHeight="1" x14ac:dyDescent="0.25"/>
    <row r="4" spans="2:64" ht="15" customHeight="1" x14ac:dyDescent="0.25"/>
    <row r="5" spans="2:64" x14ac:dyDescent="0.25">
      <c r="E5" s="153" t="s">
        <v>61</v>
      </c>
      <c r="F5" s="154"/>
      <c r="G5" s="154"/>
      <c r="H5" s="154"/>
      <c r="I5" s="154"/>
      <c r="J5" s="155"/>
      <c r="U5" s="153" t="s">
        <v>62</v>
      </c>
      <c r="V5" s="154"/>
      <c r="W5" s="154"/>
      <c r="X5" s="154"/>
      <c r="Y5" s="154"/>
      <c r="Z5" s="155"/>
      <c r="AK5" s="153" t="s">
        <v>63</v>
      </c>
      <c r="AL5" s="154"/>
      <c r="AM5" s="154"/>
      <c r="AN5" s="154"/>
      <c r="AO5" s="154"/>
      <c r="AP5" s="155"/>
      <c r="BA5" s="159" t="s">
        <v>64</v>
      </c>
      <c r="BB5" s="160"/>
      <c r="BC5" s="160"/>
      <c r="BD5" s="160"/>
      <c r="BE5" s="160"/>
      <c r="BF5" s="161"/>
    </row>
    <row r="6" spans="2:64" x14ac:dyDescent="0.25">
      <c r="E6" s="156"/>
      <c r="F6" s="157"/>
      <c r="G6" s="157"/>
      <c r="H6" s="157"/>
      <c r="I6" s="157"/>
      <c r="J6" s="158"/>
      <c r="U6" s="156"/>
      <c r="V6" s="157"/>
      <c r="W6" s="157"/>
      <c r="X6" s="157"/>
      <c r="Y6" s="157"/>
      <c r="Z6" s="158"/>
      <c r="AK6" s="156"/>
      <c r="AL6" s="157"/>
      <c r="AM6" s="157"/>
      <c r="AN6" s="157"/>
      <c r="AO6" s="157"/>
      <c r="AP6" s="158"/>
      <c r="BA6" s="162"/>
      <c r="BB6" s="163"/>
      <c r="BC6" s="163"/>
      <c r="BD6" s="163"/>
      <c r="BE6" s="163"/>
      <c r="BF6" s="164"/>
    </row>
    <row r="7" spans="2:64" ht="21" x14ac:dyDescent="0.35">
      <c r="B7" s="1" t="s">
        <v>0</v>
      </c>
      <c r="C7" s="1" t="s">
        <v>1</v>
      </c>
      <c r="D7" s="1" t="s">
        <v>2</v>
      </c>
      <c r="E7" s="7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14</v>
      </c>
      <c r="R7" s="1" t="s">
        <v>0</v>
      </c>
      <c r="S7" s="7" t="s">
        <v>1</v>
      </c>
      <c r="T7" s="1" t="s">
        <v>2</v>
      </c>
      <c r="U7" s="7" t="s">
        <v>3</v>
      </c>
      <c r="V7" s="1" t="s">
        <v>4</v>
      </c>
      <c r="W7" s="1" t="s">
        <v>5</v>
      </c>
      <c r="X7" s="1" t="s">
        <v>6</v>
      </c>
      <c r="Y7" s="1" t="s">
        <v>7</v>
      </c>
      <c r="Z7" s="1" t="s">
        <v>8</v>
      </c>
      <c r="AA7" s="1" t="s">
        <v>9</v>
      </c>
      <c r="AB7" s="1" t="s">
        <v>10</v>
      </c>
      <c r="AC7" s="1" t="s">
        <v>11</v>
      </c>
      <c r="AD7" s="1" t="s">
        <v>12</v>
      </c>
      <c r="AE7" s="1" t="s">
        <v>13</v>
      </c>
      <c r="AF7" s="1" t="s">
        <v>14</v>
      </c>
      <c r="AH7" s="1" t="s">
        <v>0</v>
      </c>
      <c r="AI7" s="1" t="s">
        <v>1</v>
      </c>
      <c r="AJ7" s="1" t="s">
        <v>2</v>
      </c>
      <c r="AK7" s="1" t="s">
        <v>3</v>
      </c>
      <c r="AL7" s="1" t="s">
        <v>4</v>
      </c>
      <c r="AM7" s="1" t="s">
        <v>5</v>
      </c>
      <c r="AN7" s="1" t="s">
        <v>6</v>
      </c>
      <c r="AO7" s="1" t="s">
        <v>7</v>
      </c>
      <c r="AP7" s="1" t="s">
        <v>8</v>
      </c>
      <c r="AQ7" s="1" t="s">
        <v>9</v>
      </c>
      <c r="AR7" s="1" t="s">
        <v>10</v>
      </c>
      <c r="AS7" s="1" t="s">
        <v>11</v>
      </c>
      <c r="AT7" s="1" t="s">
        <v>12</v>
      </c>
      <c r="AU7" s="1" t="s">
        <v>13</v>
      </c>
      <c r="AV7" s="1" t="s">
        <v>14</v>
      </c>
      <c r="AX7" s="1" t="s">
        <v>0</v>
      </c>
      <c r="AY7" s="1" t="s">
        <v>1</v>
      </c>
      <c r="AZ7" s="1" t="s">
        <v>2</v>
      </c>
      <c r="BA7" s="7" t="s">
        <v>3</v>
      </c>
      <c r="BB7" s="7" t="s">
        <v>4</v>
      </c>
      <c r="BC7" s="1" t="s">
        <v>5</v>
      </c>
      <c r="BD7" s="1" t="s">
        <v>6</v>
      </c>
      <c r="BE7" s="1" t="s">
        <v>7</v>
      </c>
      <c r="BF7" s="1" t="s">
        <v>8</v>
      </c>
      <c r="BG7" s="1" t="s">
        <v>9</v>
      </c>
      <c r="BH7" s="1" t="s">
        <v>10</v>
      </c>
      <c r="BI7" s="1" t="s">
        <v>11</v>
      </c>
      <c r="BJ7" s="1" t="s">
        <v>12</v>
      </c>
      <c r="BK7" s="1" t="s">
        <v>13</v>
      </c>
      <c r="BL7" s="1" t="s">
        <v>14</v>
      </c>
    </row>
    <row r="8" spans="2:64" x14ac:dyDescent="0.25">
      <c r="B8" s="67" t="s">
        <v>65</v>
      </c>
      <c r="C8" s="67" t="s">
        <v>66</v>
      </c>
      <c r="D8" s="52" t="s">
        <v>536</v>
      </c>
      <c r="E8" s="2">
        <v>1200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R8" s="67" t="s">
        <v>65</v>
      </c>
      <c r="S8" s="67" t="s">
        <v>66</v>
      </c>
      <c r="T8" s="2">
        <v>250</v>
      </c>
      <c r="U8" s="2">
        <v>1200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H8" s="67" t="s">
        <v>65</v>
      </c>
      <c r="AI8" s="67" t="s">
        <v>66</v>
      </c>
      <c r="AJ8" s="2">
        <v>250</v>
      </c>
      <c r="AK8" s="2">
        <v>1200</v>
      </c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X8" s="67" t="s">
        <v>65</v>
      </c>
      <c r="AY8" s="67" t="s">
        <v>66</v>
      </c>
      <c r="AZ8" s="2">
        <v>250</v>
      </c>
      <c r="BA8" s="2">
        <v>1200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</row>
    <row r="9" spans="2:64" x14ac:dyDescent="0.25">
      <c r="B9" s="68"/>
      <c r="C9" s="68"/>
      <c r="D9" s="52" t="s">
        <v>67</v>
      </c>
      <c r="E9" s="2" t="s">
        <v>67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R9" s="68"/>
      <c r="S9" s="68"/>
      <c r="T9" s="2" t="s">
        <v>67</v>
      </c>
      <c r="U9" s="2" t="s">
        <v>67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H9" s="68"/>
      <c r="AI9" s="68"/>
      <c r="AJ9" s="2" t="s">
        <v>67</v>
      </c>
      <c r="AK9" s="2" t="s">
        <v>67</v>
      </c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X9" s="68"/>
      <c r="AY9" s="68"/>
      <c r="AZ9" s="2" t="s">
        <v>67</v>
      </c>
      <c r="BA9" s="2" t="s">
        <v>67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</row>
    <row r="10" spans="2:64" x14ac:dyDescent="0.25">
      <c r="B10" s="67" t="s">
        <v>195</v>
      </c>
      <c r="C10" s="67"/>
      <c r="D10" s="2">
        <v>250</v>
      </c>
      <c r="E10" s="2">
        <v>1200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R10" s="67" t="s">
        <v>195</v>
      </c>
      <c r="S10" s="67" t="s">
        <v>196</v>
      </c>
      <c r="T10" s="2">
        <v>250</v>
      </c>
      <c r="U10" s="2">
        <v>1200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H10" s="67" t="s">
        <v>232</v>
      </c>
      <c r="AI10" s="67"/>
      <c r="AJ10" s="2">
        <v>250</v>
      </c>
      <c r="AK10" s="2">
        <v>1200</v>
      </c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X10" s="67" t="s">
        <v>603</v>
      </c>
      <c r="AY10" s="67" t="s">
        <v>196</v>
      </c>
      <c r="AZ10" s="2">
        <v>250</v>
      </c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</row>
    <row r="11" spans="2:64" x14ac:dyDescent="0.25">
      <c r="B11" s="68"/>
      <c r="C11" s="68"/>
      <c r="D11" s="2" t="s">
        <v>602</v>
      </c>
      <c r="E11" s="2" t="s">
        <v>620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R11" s="68"/>
      <c r="S11" s="68"/>
      <c r="T11" s="2" t="s">
        <v>601</v>
      </c>
      <c r="U11" s="2" t="s">
        <v>620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H11" s="68"/>
      <c r="AI11" s="68"/>
      <c r="AJ11" s="2" t="s">
        <v>615</v>
      </c>
      <c r="AK11" s="2" t="s">
        <v>615</v>
      </c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X11" s="68"/>
      <c r="AY11" s="68"/>
      <c r="AZ11" s="2" t="s">
        <v>602</v>
      </c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</row>
    <row r="12" spans="2:64" x14ac:dyDescent="0.25">
      <c r="B12" s="67" t="s">
        <v>604</v>
      </c>
      <c r="C12" s="67"/>
      <c r="D12" s="2">
        <v>250</v>
      </c>
      <c r="E12" s="2">
        <v>1200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R12" s="67" t="s">
        <v>604</v>
      </c>
      <c r="S12" s="67"/>
      <c r="T12" s="2">
        <v>250</v>
      </c>
      <c r="U12" s="2">
        <v>1200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H12" s="67"/>
      <c r="AI12" s="67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X12" s="67" t="s">
        <v>232</v>
      </c>
      <c r="AY12" s="67"/>
      <c r="AZ12" s="52" t="s">
        <v>617</v>
      </c>
      <c r="BA12" s="2">
        <v>1200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</row>
    <row r="13" spans="2:64" x14ac:dyDescent="0.25">
      <c r="B13" s="68"/>
      <c r="C13" s="68"/>
      <c r="D13" s="2" t="s">
        <v>605</v>
      </c>
      <c r="E13" s="2" t="s">
        <v>605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R13" s="68"/>
      <c r="S13" s="68"/>
      <c r="T13" s="2" t="s">
        <v>605</v>
      </c>
      <c r="U13" s="2" t="s">
        <v>605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H13" s="68"/>
      <c r="AI13" s="68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X13" s="68"/>
      <c r="AY13" s="68"/>
      <c r="AZ13" s="52" t="s">
        <v>616</v>
      </c>
      <c r="BA13" s="2" t="s">
        <v>616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</row>
    <row r="14" spans="2:64" x14ac:dyDescent="0.25">
      <c r="B14" s="67" t="s">
        <v>606</v>
      </c>
      <c r="C14" s="67"/>
      <c r="D14" s="2">
        <v>250</v>
      </c>
      <c r="E14" s="2">
        <v>1200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R14" s="67" t="s">
        <v>606</v>
      </c>
      <c r="S14" s="67"/>
      <c r="T14" s="2">
        <v>250</v>
      </c>
      <c r="U14" s="2">
        <v>1200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H14" s="67"/>
      <c r="AI14" s="67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X14" s="67"/>
      <c r="AY14" s="67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</row>
    <row r="15" spans="2:64" x14ac:dyDescent="0.25">
      <c r="B15" s="68"/>
      <c r="C15" s="68"/>
      <c r="D15" s="2" t="s">
        <v>607</v>
      </c>
      <c r="E15" s="2" t="s">
        <v>607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68"/>
      <c r="S15" s="68"/>
      <c r="T15" s="2" t="s">
        <v>607</v>
      </c>
      <c r="U15" s="2" t="s">
        <v>607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H15" s="68"/>
      <c r="AI15" s="68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X15" s="68"/>
      <c r="AY15" s="68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</row>
    <row r="16" spans="2:64" x14ac:dyDescent="0.25">
      <c r="B16" s="67" t="s">
        <v>608</v>
      </c>
      <c r="C16" s="67"/>
      <c r="D16" s="2">
        <v>250</v>
      </c>
      <c r="E16" s="2">
        <v>1200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R16" s="67" t="s">
        <v>608</v>
      </c>
      <c r="S16" s="67"/>
      <c r="T16" s="2">
        <v>250</v>
      </c>
      <c r="U16" s="2">
        <v>1200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H16" s="67"/>
      <c r="AI16" s="67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X16" s="67"/>
      <c r="AY16" s="67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</row>
    <row r="17" spans="2:64" x14ac:dyDescent="0.25">
      <c r="B17" s="68"/>
      <c r="C17" s="68"/>
      <c r="D17" s="2" t="s">
        <v>609</v>
      </c>
      <c r="E17" s="2" t="s">
        <v>609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R17" s="68"/>
      <c r="S17" s="68"/>
      <c r="T17" s="2" t="s">
        <v>609</v>
      </c>
      <c r="U17" s="2" t="s">
        <v>609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H17" s="68"/>
      <c r="AI17" s="68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X17" s="68"/>
      <c r="AY17" s="68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</row>
    <row r="18" spans="2:64" x14ac:dyDescent="0.25">
      <c r="B18" s="67" t="s">
        <v>610</v>
      </c>
      <c r="C18" s="67" t="s">
        <v>612</v>
      </c>
      <c r="D18" s="2">
        <v>250</v>
      </c>
      <c r="E18" s="2">
        <v>1200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R18" s="67" t="s">
        <v>610</v>
      </c>
      <c r="S18" s="67" t="s">
        <v>612</v>
      </c>
      <c r="T18" s="2">
        <v>250</v>
      </c>
      <c r="U18" s="2">
        <v>1200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H18" s="67"/>
      <c r="AI18" s="67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X18" s="67"/>
      <c r="AY18" s="67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</row>
    <row r="19" spans="2:64" x14ac:dyDescent="0.25">
      <c r="B19" s="68"/>
      <c r="C19" s="68"/>
      <c r="D19" s="2" t="s">
        <v>611</v>
      </c>
      <c r="E19" s="2" t="s">
        <v>611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R19" s="68"/>
      <c r="S19" s="68"/>
      <c r="T19" s="2" t="s">
        <v>611</v>
      </c>
      <c r="U19" s="2" t="s">
        <v>611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H19" s="68"/>
      <c r="AI19" s="68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X19" s="68"/>
      <c r="AY19" s="68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</row>
    <row r="20" spans="2:64" x14ac:dyDescent="0.25">
      <c r="B20" s="67" t="s">
        <v>231</v>
      </c>
      <c r="C20" s="67"/>
      <c r="D20" s="2">
        <v>250</v>
      </c>
      <c r="E20" s="2">
        <v>1200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R20" s="67" t="s">
        <v>231</v>
      </c>
      <c r="S20" s="67"/>
      <c r="T20" s="2">
        <v>250</v>
      </c>
      <c r="U20" s="2">
        <v>1200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H20" s="67"/>
      <c r="AI20" s="67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X20" s="67"/>
      <c r="AY20" s="67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</row>
    <row r="21" spans="2:64" x14ac:dyDescent="0.25">
      <c r="B21" s="68"/>
      <c r="C21" s="68"/>
      <c r="D21" s="2" t="s">
        <v>613</v>
      </c>
      <c r="E21" s="2" t="s">
        <v>613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R21" s="68"/>
      <c r="S21" s="68"/>
      <c r="T21" s="2" t="s">
        <v>613</v>
      </c>
      <c r="U21" s="2" t="s">
        <v>613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H21" s="68"/>
      <c r="AI21" s="68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X21" s="68"/>
      <c r="AY21" s="68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</row>
    <row r="22" spans="2:64" x14ac:dyDescent="0.25">
      <c r="B22" s="67" t="s">
        <v>232</v>
      </c>
      <c r="C22" s="67"/>
      <c r="D22" s="2">
        <v>250</v>
      </c>
      <c r="E22" s="2">
        <v>1200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R22" s="67" t="s">
        <v>232</v>
      </c>
      <c r="S22" s="67"/>
      <c r="T22" s="2">
        <v>250</v>
      </c>
      <c r="U22" s="2">
        <v>1200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H22" s="67"/>
      <c r="AI22" s="67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X22" s="67"/>
      <c r="AY22" s="67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</row>
    <row r="23" spans="2:64" x14ac:dyDescent="0.25">
      <c r="B23" s="68"/>
      <c r="C23" s="68"/>
      <c r="D23" s="2" t="s">
        <v>614</v>
      </c>
      <c r="E23" s="2" t="s">
        <v>614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68"/>
      <c r="S23" s="68"/>
      <c r="T23" s="2" t="s">
        <v>614</v>
      </c>
      <c r="U23" s="2" t="s">
        <v>614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H23" s="68"/>
      <c r="AI23" s="68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X23" s="68"/>
      <c r="AY23" s="68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</row>
    <row r="24" spans="2:64" x14ac:dyDescent="0.25">
      <c r="B24" s="67" t="s">
        <v>203</v>
      </c>
      <c r="C24" s="67"/>
      <c r="D24" s="2">
        <v>250</v>
      </c>
      <c r="E24" s="2">
        <v>1200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R24" s="67" t="s">
        <v>203</v>
      </c>
      <c r="S24" s="67"/>
      <c r="T24" s="2">
        <v>250</v>
      </c>
      <c r="U24" s="2">
        <v>1200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H24" s="67"/>
      <c r="AI24" s="67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X24" s="67"/>
      <c r="AY24" s="67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</row>
    <row r="25" spans="2:64" x14ac:dyDescent="0.25">
      <c r="B25" s="68"/>
      <c r="C25" s="68"/>
      <c r="D25" s="2" t="s">
        <v>618</v>
      </c>
      <c r="E25" s="2" t="s">
        <v>618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68"/>
      <c r="S25" s="68"/>
      <c r="T25" s="2" t="s">
        <v>619</v>
      </c>
      <c r="U25" s="2" t="s">
        <v>619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H25" s="68"/>
      <c r="AI25" s="68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X25" s="68"/>
      <c r="AY25" s="68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</row>
    <row r="26" spans="2:64" x14ac:dyDescent="0.25">
      <c r="B26" s="67" t="s">
        <v>621</v>
      </c>
      <c r="C26" s="67"/>
      <c r="D26" s="2">
        <v>250</v>
      </c>
      <c r="E26" s="2">
        <v>1200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R26" s="67" t="s">
        <v>621</v>
      </c>
      <c r="S26" s="67"/>
      <c r="T26" s="2">
        <v>250</v>
      </c>
      <c r="U26" s="2">
        <v>1200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H26" s="67"/>
      <c r="AI26" s="67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X26" s="67"/>
      <c r="AY26" s="67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</row>
    <row r="27" spans="2:64" x14ac:dyDescent="0.25">
      <c r="B27" s="68"/>
      <c r="C27" s="68"/>
      <c r="D27" s="2" t="s">
        <v>622</v>
      </c>
      <c r="E27" s="2" t="s">
        <v>622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R27" s="68"/>
      <c r="S27" s="68"/>
      <c r="T27" s="2" t="s">
        <v>623</v>
      </c>
      <c r="U27" s="2" t="s">
        <v>623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H27" s="68"/>
      <c r="AI27" s="68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X27" s="68"/>
      <c r="AY27" s="68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</row>
    <row r="28" spans="2:64" x14ac:dyDescent="0.25">
      <c r="B28" s="67" t="s">
        <v>624</v>
      </c>
      <c r="C28" s="67" t="s">
        <v>625</v>
      </c>
      <c r="D28" s="2">
        <v>250</v>
      </c>
      <c r="E28" s="2">
        <v>1200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R28" s="67" t="s">
        <v>624</v>
      </c>
      <c r="S28" s="67" t="s">
        <v>625</v>
      </c>
      <c r="T28" s="2">
        <v>250</v>
      </c>
      <c r="U28" s="2">
        <v>1200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H28" s="67"/>
      <c r="AI28" s="67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X28" s="67"/>
      <c r="AY28" s="67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</row>
    <row r="29" spans="2:64" x14ac:dyDescent="0.25">
      <c r="B29" s="68"/>
      <c r="C29" s="68"/>
      <c r="D29" s="2" t="s">
        <v>626</v>
      </c>
      <c r="E29" s="2" t="s">
        <v>626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R29" s="68"/>
      <c r="S29" s="68"/>
      <c r="T29" s="2" t="s">
        <v>627</v>
      </c>
      <c r="U29" s="2" t="s">
        <v>627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H29" s="68"/>
      <c r="AI29" s="68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X29" s="68"/>
      <c r="AY29" s="68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</row>
    <row r="30" spans="2:64" x14ac:dyDescent="0.25">
      <c r="B30" s="67" t="s">
        <v>209</v>
      </c>
      <c r="C30" s="67"/>
      <c r="D30" s="2"/>
      <c r="E30" s="2">
        <v>1200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R30" s="67" t="s">
        <v>209</v>
      </c>
      <c r="S30" s="67"/>
      <c r="T30" s="2"/>
      <c r="U30" s="2">
        <v>1200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H30" s="67"/>
      <c r="AI30" s="67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X30" s="67"/>
      <c r="AY30" s="67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</row>
    <row r="31" spans="2:64" x14ac:dyDescent="0.25">
      <c r="B31" s="68"/>
      <c r="C31" s="68"/>
      <c r="D31" s="2"/>
      <c r="E31" s="2" t="s">
        <v>657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68"/>
      <c r="S31" s="68"/>
      <c r="T31" s="2"/>
      <c r="U31" s="2" t="s">
        <v>657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H31" s="68"/>
      <c r="AI31" s="68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X31" s="68"/>
      <c r="AY31" s="68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</row>
    <row r="32" spans="2:64" x14ac:dyDescent="0.25">
      <c r="B32" s="67"/>
      <c r="C32" s="6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R32" s="67"/>
      <c r="S32" s="67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H32" s="67"/>
      <c r="AI32" s="67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X32" s="67"/>
      <c r="AY32" s="67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</row>
    <row r="33" spans="2:64" x14ac:dyDescent="0.25">
      <c r="B33" s="68"/>
      <c r="C33" s="68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R33" s="68"/>
      <c r="S33" s="68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H33" s="68"/>
      <c r="AI33" s="68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X33" s="68"/>
      <c r="AY33" s="68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</row>
    <row r="34" spans="2:64" x14ac:dyDescent="0.25">
      <c r="B34" s="67"/>
      <c r="C34" s="6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R34" s="67"/>
      <c r="S34" s="67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H34" s="67"/>
      <c r="AI34" s="67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X34" s="67"/>
      <c r="AY34" s="67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</row>
    <row r="35" spans="2:64" x14ac:dyDescent="0.25">
      <c r="B35" s="68"/>
      <c r="C35" s="68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R35" s="68"/>
      <c r="S35" s="68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H35" s="68"/>
      <c r="AI35" s="68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X35" s="68"/>
      <c r="AY35" s="68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</row>
    <row r="36" spans="2:64" x14ac:dyDescent="0.25">
      <c r="B36" s="67"/>
      <c r="C36" s="6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R36" s="67"/>
      <c r="S36" s="67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H36" s="67"/>
      <c r="AI36" s="67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X36" s="67"/>
      <c r="AY36" s="67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</row>
    <row r="37" spans="2:64" x14ac:dyDescent="0.25">
      <c r="B37" s="68"/>
      <c r="C37" s="68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R37" s="68"/>
      <c r="S37" s="68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H37" s="68"/>
      <c r="AI37" s="68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X37" s="68"/>
      <c r="AY37" s="68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</row>
    <row r="38" spans="2:64" x14ac:dyDescent="0.25">
      <c r="B38" s="67"/>
      <c r="C38" s="6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R38" s="67"/>
      <c r="S38" s="67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H38" s="67"/>
      <c r="AI38" s="67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X38" s="67"/>
      <c r="AY38" s="67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</row>
    <row r="39" spans="2:64" x14ac:dyDescent="0.25">
      <c r="B39" s="68"/>
      <c r="C39" s="68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R39" s="68"/>
      <c r="S39" s="68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H39" s="68"/>
      <c r="AI39" s="68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X39" s="68"/>
      <c r="AY39" s="68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</row>
    <row r="40" spans="2:64" x14ac:dyDescent="0.25">
      <c r="B40" s="67"/>
      <c r="C40" s="67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R40" s="67"/>
      <c r="S40" s="67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H40" s="67"/>
      <c r="AI40" s="67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X40" s="67"/>
      <c r="AY40" s="67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</row>
    <row r="41" spans="2:64" x14ac:dyDescent="0.25">
      <c r="B41" s="68"/>
      <c r="C41" s="68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R41" s="68"/>
      <c r="S41" s="68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H41" s="68"/>
      <c r="AI41" s="68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X41" s="68"/>
      <c r="AY41" s="68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</row>
    <row r="42" spans="2:64" x14ac:dyDescent="0.25">
      <c r="B42" s="67"/>
      <c r="C42" s="67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R42" s="67"/>
      <c r="S42" s="67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H42" s="67"/>
      <c r="AI42" s="67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X42" s="67"/>
      <c r="AY42" s="67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</row>
    <row r="43" spans="2:64" x14ac:dyDescent="0.25">
      <c r="B43" s="68"/>
      <c r="C43" s="68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R43" s="68"/>
      <c r="S43" s="68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H43" s="68"/>
      <c r="AI43" s="68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X43" s="68"/>
      <c r="AY43" s="68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</row>
    <row r="44" spans="2:64" x14ac:dyDescent="0.25">
      <c r="B44" s="67"/>
      <c r="C44" s="67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R44" s="67"/>
      <c r="S44" s="67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H44" s="67"/>
      <c r="AI44" s="67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X44" s="67"/>
      <c r="AY44" s="67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</row>
    <row r="45" spans="2:64" x14ac:dyDescent="0.25">
      <c r="B45" s="68"/>
      <c r="C45" s="68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R45" s="68"/>
      <c r="S45" s="68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H45" s="68"/>
      <c r="AI45" s="68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X45" s="68"/>
      <c r="AY45" s="68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</row>
    <row r="46" spans="2:64" x14ac:dyDescent="0.25">
      <c r="B46" s="67"/>
      <c r="C46" s="67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R46" s="67"/>
      <c r="S46" s="67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H46" s="67"/>
      <c r="AI46" s="67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X46" s="67"/>
      <c r="AY46" s="67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</row>
    <row r="47" spans="2:64" x14ac:dyDescent="0.25">
      <c r="B47" s="68"/>
      <c r="C47" s="68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R47" s="68"/>
      <c r="S47" s="68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H47" s="68"/>
      <c r="AI47" s="68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X47" s="68"/>
      <c r="AY47" s="68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</row>
  </sheetData>
  <mergeCells count="164">
    <mergeCell ref="AX44:AX45"/>
    <mergeCell ref="AY44:AY45"/>
    <mergeCell ref="AX46:AX47"/>
    <mergeCell ref="AY46:AY47"/>
    <mergeCell ref="AX38:AX39"/>
    <mergeCell ref="AY38:AY39"/>
    <mergeCell ref="AX40:AX41"/>
    <mergeCell ref="AY40:AY41"/>
    <mergeCell ref="AX42:AX43"/>
    <mergeCell ref="AY42:AY43"/>
    <mergeCell ref="AX32:AX33"/>
    <mergeCell ref="AY32:AY33"/>
    <mergeCell ref="AX34:AX35"/>
    <mergeCell ref="AY34:AY35"/>
    <mergeCell ref="AX36:AX37"/>
    <mergeCell ref="AY36:AY37"/>
    <mergeCell ref="AX26:AX27"/>
    <mergeCell ref="AY26:AY27"/>
    <mergeCell ref="AX28:AX29"/>
    <mergeCell ref="AY28:AY29"/>
    <mergeCell ref="AX30:AX31"/>
    <mergeCell ref="AY30:AY31"/>
    <mergeCell ref="AX20:AX21"/>
    <mergeCell ref="AY20:AY21"/>
    <mergeCell ref="AX22:AX23"/>
    <mergeCell ref="AY22:AY23"/>
    <mergeCell ref="AX24:AX25"/>
    <mergeCell ref="AY24:AY25"/>
    <mergeCell ref="AY12:AY13"/>
    <mergeCell ref="AX14:AX15"/>
    <mergeCell ref="AY14:AY15"/>
    <mergeCell ref="AX16:AX17"/>
    <mergeCell ref="AY16:AY17"/>
    <mergeCell ref="AX18:AX19"/>
    <mergeCell ref="AY18:AY19"/>
    <mergeCell ref="AH44:AH45"/>
    <mergeCell ref="AI44:AI45"/>
    <mergeCell ref="AH46:AH47"/>
    <mergeCell ref="AI46:AI47"/>
    <mergeCell ref="BA5:BF6"/>
    <mergeCell ref="AX8:AX9"/>
    <mergeCell ref="AY8:AY9"/>
    <mergeCell ref="AX10:AX11"/>
    <mergeCell ref="AY10:AY11"/>
    <mergeCell ref="AX12:AX13"/>
    <mergeCell ref="AH38:AH39"/>
    <mergeCell ref="AI38:AI39"/>
    <mergeCell ref="AH40:AH41"/>
    <mergeCell ref="AI40:AI41"/>
    <mergeCell ref="AH42:AH43"/>
    <mergeCell ref="AI42:AI43"/>
    <mergeCell ref="AH32:AH33"/>
    <mergeCell ref="AI32:AI33"/>
    <mergeCell ref="AH34:AH35"/>
    <mergeCell ref="AI34:AI35"/>
    <mergeCell ref="AH36:AH37"/>
    <mergeCell ref="AI36:AI37"/>
    <mergeCell ref="AH26:AH27"/>
    <mergeCell ref="AI26:AI27"/>
    <mergeCell ref="AH28:AH29"/>
    <mergeCell ref="AI28:AI29"/>
    <mergeCell ref="AH30:AH31"/>
    <mergeCell ref="AI30:AI31"/>
    <mergeCell ref="AH20:AH21"/>
    <mergeCell ref="AI20:AI21"/>
    <mergeCell ref="AH22:AH23"/>
    <mergeCell ref="AI22:AI23"/>
    <mergeCell ref="AH24:AH25"/>
    <mergeCell ref="AI24:AI25"/>
    <mergeCell ref="AI12:AI13"/>
    <mergeCell ref="AH14:AH15"/>
    <mergeCell ref="AI14:AI15"/>
    <mergeCell ref="AH16:AH17"/>
    <mergeCell ref="AI16:AI17"/>
    <mergeCell ref="AH18:AH19"/>
    <mergeCell ref="AI18:AI19"/>
    <mergeCell ref="R44:R45"/>
    <mergeCell ref="S44:S45"/>
    <mergeCell ref="R30:R31"/>
    <mergeCell ref="S30:S31"/>
    <mergeCell ref="R20:R21"/>
    <mergeCell ref="S20:S21"/>
    <mergeCell ref="R22:R23"/>
    <mergeCell ref="S22:S23"/>
    <mergeCell ref="R24:R25"/>
    <mergeCell ref="S24:S25"/>
    <mergeCell ref="S12:S13"/>
    <mergeCell ref="R14:R15"/>
    <mergeCell ref="S14:S15"/>
    <mergeCell ref="R16:R17"/>
    <mergeCell ref="S16:S17"/>
    <mergeCell ref="R18:R19"/>
    <mergeCell ref="S18:S19"/>
    <mergeCell ref="R46:R47"/>
    <mergeCell ref="S46:S47"/>
    <mergeCell ref="AK5:AP6"/>
    <mergeCell ref="AH8:AH9"/>
    <mergeCell ref="AI8:AI9"/>
    <mergeCell ref="AH10:AH11"/>
    <mergeCell ref="AI10:AI11"/>
    <mergeCell ref="AH12:AH13"/>
    <mergeCell ref="R38:R39"/>
    <mergeCell ref="S38:S39"/>
    <mergeCell ref="R40:R41"/>
    <mergeCell ref="S40:S41"/>
    <mergeCell ref="R42:R43"/>
    <mergeCell ref="S42:S43"/>
    <mergeCell ref="R32:R33"/>
    <mergeCell ref="S32:S33"/>
    <mergeCell ref="R34:R35"/>
    <mergeCell ref="S34:S35"/>
    <mergeCell ref="R36:R37"/>
    <mergeCell ref="S36:S37"/>
    <mergeCell ref="R26:R27"/>
    <mergeCell ref="S26:S27"/>
    <mergeCell ref="R28:R29"/>
    <mergeCell ref="S28:S29"/>
    <mergeCell ref="B44:B45"/>
    <mergeCell ref="C44:C45"/>
    <mergeCell ref="B46:B47"/>
    <mergeCell ref="C46:C47"/>
    <mergeCell ref="U5:Z6"/>
    <mergeCell ref="R8:R9"/>
    <mergeCell ref="S8:S9"/>
    <mergeCell ref="R10:R11"/>
    <mergeCell ref="S10:S11"/>
    <mergeCell ref="R12:R13"/>
    <mergeCell ref="B38:B39"/>
    <mergeCell ref="C38:C39"/>
    <mergeCell ref="B40:B41"/>
    <mergeCell ref="C40:C41"/>
    <mergeCell ref="B42:B43"/>
    <mergeCell ref="C42:C43"/>
    <mergeCell ref="B32:B33"/>
    <mergeCell ref="C32:C33"/>
    <mergeCell ref="B34:B35"/>
    <mergeCell ref="C34:C35"/>
    <mergeCell ref="B36:B37"/>
    <mergeCell ref="C36:C37"/>
    <mergeCell ref="B26:B27"/>
    <mergeCell ref="C26:C27"/>
    <mergeCell ref="B28:B29"/>
    <mergeCell ref="C28:C29"/>
    <mergeCell ref="B30:B31"/>
    <mergeCell ref="C30:C31"/>
    <mergeCell ref="B20:B21"/>
    <mergeCell ref="C20:C21"/>
    <mergeCell ref="B22:B23"/>
    <mergeCell ref="C22:C23"/>
    <mergeCell ref="B24:B25"/>
    <mergeCell ref="C24:C25"/>
    <mergeCell ref="B14:B15"/>
    <mergeCell ref="C14:C15"/>
    <mergeCell ref="B16:B17"/>
    <mergeCell ref="C16:C17"/>
    <mergeCell ref="B18:B19"/>
    <mergeCell ref="C18:C19"/>
    <mergeCell ref="E5:J6"/>
    <mergeCell ref="B8:B9"/>
    <mergeCell ref="C8:C9"/>
    <mergeCell ref="B10:B11"/>
    <mergeCell ref="C10:C11"/>
    <mergeCell ref="B12:B13"/>
    <mergeCell ref="C12:C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75BA3-EAC1-4B0A-9DBD-7FDF18F3F058}">
  <dimension ref="D4:AL48"/>
  <sheetViews>
    <sheetView rightToLeft="1" workbookViewId="0">
      <selection activeCell="AA7" sqref="AA7"/>
    </sheetView>
  </sheetViews>
  <sheetFormatPr baseColWidth="10" defaultRowHeight="15" x14ac:dyDescent="0.25"/>
  <cols>
    <col min="4" max="4" width="21.5703125" customWidth="1"/>
    <col min="5" max="5" width="21.140625" customWidth="1"/>
    <col min="6" max="6" width="22.5703125" customWidth="1"/>
    <col min="7" max="7" width="18.28515625" bestFit="1" customWidth="1"/>
    <col min="8" max="8" width="15.28515625" customWidth="1"/>
    <col min="9" max="9" width="13.85546875" customWidth="1"/>
    <col min="24" max="24" width="20" customWidth="1"/>
    <col min="25" max="25" width="21.28515625" customWidth="1"/>
    <col min="26" max="26" width="19.7109375" customWidth="1"/>
    <col min="27" max="27" width="18.28515625" bestFit="1" customWidth="1"/>
    <col min="28" max="28" width="16.28515625" customWidth="1"/>
    <col min="29" max="29" width="13.85546875" customWidth="1"/>
    <col min="30" max="30" width="13" customWidth="1"/>
    <col min="31" max="31" width="14.7109375" customWidth="1"/>
  </cols>
  <sheetData>
    <row r="4" spans="4:38" x14ac:dyDescent="0.25">
      <c r="AA4" s="153" t="s">
        <v>61</v>
      </c>
      <c r="AB4" s="154"/>
      <c r="AC4" s="154"/>
      <c r="AD4" s="154"/>
      <c r="AE4" s="154"/>
      <c r="AF4" s="155"/>
    </row>
    <row r="5" spans="4:38" x14ac:dyDescent="0.25">
      <c r="AA5" s="156"/>
      <c r="AB5" s="157"/>
      <c r="AC5" s="157"/>
      <c r="AD5" s="157"/>
      <c r="AE5" s="157"/>
      <c r="AF5" s="158"/>
    </row>
    <row r="6" spans="4:38" ht="21" customHeight="1" x14ac:dyDescent="0.25">
      <c r="D6" s="9"/>
      <c r="E6" s="9"/>
      <c r="F6" s="9"/>
      <c r="G6" s="159" t="s">
        <v>62</v>
      </c>
      <c r="H6" s="160"/>
      <c r="I6" s="160"/>
      <c r="J6" s="160"/>
      <c r="K6" s="160"/>
      <c r="L6" s="161"/>
      <c r="M6" s="9"/>
      <c r="N6" s="9"/>
      <c r="O6" s="9"/>
      <c r="P6" s="9"/>
      <c r="Q6" s="9"/>
      <c r="R6" s="9"/>
      <c r="X6" s="7" t="s">
        <v>0</v>
      </c>
      <c r="Y6" s="7" t="s">
        <v>1</v>
      </c>
      <c r="Z6" s="7" t="s">
        <v>2</v>
      </c>
      <c r="AA6" s="7" t="s">
        <v>3</v>
      </c>
      <c r="AB6" s="7" t="s">
        <v>4</v>
      </c>
      <c r="AC6" s="7" t="s">
        <v>5</v>
      </c>
      <c r="AD6" s="7" t="s">
        <v>6</v>
      </c>
      <c r="AE6" s="7" t="s">
        <v>7</v>
      </c>
      <c r="AF6" s="7" t="s">
        <v>8</v>
      </c>
      <c r="AG6" s="7" t="s">
        <v>9</v>
      </c>
      <c r="AH6" s="7" t="s">
        <v>10</v>
      </c>
      <c r="AI6" s="7" t="s">
        <v>11</v>
      </c>
      <c r="AJ6" s="7" t="s">
        <v>12</v>
      </c>
      <c r="AK6" s="7" t="s">
        <v>13</v>
      </c>
      <c r="AL6" s="7" t="s">
        <v>14</v>
      </c>
    </row>
    <row r="7" spans="4:38" ht="15" customHeight="1" x14ac:dyDescent="0.25">
      <c r="D7" s="9"/>
      <c r="E7" s="9"/>
      <c r="F7" s="9"/>
      <c r="G7" s="162"/>
      <c r="H7" s="163"/>
      <c r="I7" s="163"/>
      <c r="J7" s="163"/>
      <c r="K7" s="163"/>
      <c r="L7" s="164"/>
      <c r="M7" s="9"/>
      <c r="N7" s="9"/>
      <c r="O7" s="9"/>
      <c r="P7" s="9"/>
      <c r="Q7" s="9"/>
      <c r="R7" s="9"/>
      <c r="X7" s="67" t="s">
        <v>290</v>
      </c>
      <c r="Y7" s="67"/>
      <c r="Z7" s="2">
        <v>250</v>
      </c>
      <c r="AA7" s="2">
        <v>1200</v>
      </c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4:38" ht="21" customHeight="1" x14ac:dyDescent="0.25">
      <c r="D8" s="7" t="s">
        <v>0</v>
      </c>
      <c r="E8" s="7" t="s">
        <v>1</v>
      </c>
      <c r="F8" s="7" t="s">
        <v>2</v>
      </c>
      <c r="G8" s="7" t="s">
        <v>3</v>
      </c>
      <c r="H8" s="7" t="s">
        <v>4</v>
      </c>
      <c r="I8" s="7" t="s">
        <v>5</v>
      </c>
      <c r="J8" s="7" t="s">
        <v>6</v>
      </c>
      <c r="K8" s="7" t="s">
        <v>7</v>
      </c>
      <c r="L8" s="7" t="s">
        <v>8</v>
      </c>
      <c r="M8" s="7" t="s">
        <v>9</v>
      </c>
      <c r="N8" s="7" t="s">
        <v>10</v>
      </c>
      <c r="O8" s="7" t="s">
        <v>11</v>
      </c>
      <c r="P8" s="7" t="s">
        <v>12</v>
      </c>
      <c r="Q8" s="7" t="s">
        <v>13</v>
      </c>
      <c r="R8" s="7" t="s">
        <v>14</v>
      </c>
      <c r="X8" s="68"/>
      <c r="Y8" s="68"/>
      <c r="Z8" s="2" t="s">
        <v>535</v>
      </c>
      <c r="AA8" s="2" t="s">
        <v>535</v>
      </c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4:38" x14ac:dyDescent="0.25">
      <c r="D9" s="67" t="s">
        <v>290</v>
      </c>
      <c r="E9" s="67"/>
      <c r="F9" s="2">
        <v>250</v>
      </c>
      <c r="G9" s="2">
        <v>1200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X9" s="67"/>
      <c r="Y9" s="67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4:38" x14ac:dyDescent="0.25">
      <c r="D10" s="68"/>
      <c r="E10" s="68"/>
      <c r="F10" s="2" t="s">
        <v>535</v>
      </c>
      <c r="G10" s="2" t="s">
        <v>535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X10" s="68"/>
      <c r="Y10" s="68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4:38" x14ac:dyDescent="0.25">
      <c r="D11" s="67"/>
      <c r="E11" s="6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X11" s="67"/>
      <c r="Y11" s="67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4:38" x14ac:dyDescent="0.25">
      <c r="D12" s="68"/>
      <c r="E12" s="68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X12" s="68"/>
      <c r="Y12" s="68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4:38" x14ac:dyDescent="0.25">
      <c r="D13" s="67"/>
      <c r="E13" s="6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X13" s="67"/>
      <c r="Y13" s="67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4:38" x14ac:dyDescent="0.25">
      <c r="D14" s="68"/>
      <c r="E14" s="68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X14" s="68"/>
      <c r="Y14" s="68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4:38" x14ac:dyDescent="0.25">
      <c r="D15" s="67"/>
      <c r="E15" s="6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X15" s="67"/>
      <c r="Y15" s="67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4:38" x14ac:dyDescent="0.25">
      <c r="D16" s="68"/>
      <c r="E16" s="68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X16" s="68"/>
      <c r="Y16" s="68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4:38" x14ac:dyDescent="0.25">
      <c r="D17" s="67"/>
      <c r="E17" s="6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X17" s="67"/>
      <c r="Y17" s="67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4:38" x14ac:dyDescent="0.25">
      <c r="D18" s="68"/>
      <c r="E18" s="68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X18" s="68"/>
      <c r="Y18" s="68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4:38" x14ac:dyDescent="0.25">
      <c r="D19" s="67"/>
      <c r="E19" s="6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X19" s="67"/>
      <c r="Y19" s="67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4:38" x14ac:dyDescent="0.25">
      <c r="D20" s="68"/>
      <c r="E20" s="6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X20" s="68"/>
      <c r="Y20" s="68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4:38" x14ac:dyDescent="0.25">
      <c r="D21" s="67"/>
      <c r="E21" s="6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X21" s="67"/>
      <c r="Y21" s="67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4:38" x14ac:dyDescent="0.25">
      <c r="D22" s="68"/>
      <c r="E22" s="6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X22" s="68"/>
      <c r="Y22" s="68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4:38" x14ac:dyDescent="0.25">
      <c r="D23" s="67"/>
      <c r="E23" s="6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X23" s="67"/>
      <c r="Y23" s="67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4:38" x14ac:dyDescent="0.25">
      <c r="D24" s="68"/>
      <c r="E24" s="68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X24" s="68"/>
      <c r="Y24" s="68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4:38" x14ac:dyDescent="0.25">
      <c r="D25" s="67"/>
      <c r="E25" s="6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X25" s="67"/>
      <c r="Y25" s="67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4:38" x14ac:dyDescent="0.25">
      <c r="D26" s="68"/>
      <c r="E26" s="68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X26" s="68"/>
      <c r="Y26" s="68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4:38" x14ac:dyDescent="0.25">
      <c r="D27" s="67"/>
      <c r="E27" s="6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X27" s="67"/>
      <c r="Y27" s="67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4:38" x14ac:dyDescent="0.25">
      <c r="D28" s="68"/>
      <c r="E28" s="6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X28" s="68"/>
      <c r="Y28" s="68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4:38" x14ac:dyDescent="0.25">
      <c r="D29" s="67"/>
      <c r="E29" s="6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X29" s="67"/>
      <c r="Y29" s="67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4:38" x14ac:dyDescent="0.25">
      <c r="D30" s="68"/>
      <c r="E30" s="68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X30" s="68"/>
      <c r="Y30" s="68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4:38" x14ac:dyDescent="0.25">
      <c r="D31" s="67"/>
      <c r="E31" s="6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X31" s="67"/>
      <c r="Y31" s="67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4:38" x14ac:dyDescent="0.25">
      <c r="D32" s="68"/>
      <c r="E32" s="68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X32" s="68"/>
      <c r="Y32" s="68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4:38" x14ac:dyDescent="0.25">
      <c r="D33" s="67"/>
      <c r="E33" s="6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X33" s="67"/>
      <c r="Y33" s="67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4:38" x14ac:dyDescent="0.25">
      <c r="D34" s="68"/>
      <c r="E34" s="68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X34" s="68"/>
      <c r="Y34" s="68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4:38" x14ac:dyDescent="0.25">
      <c r="D35" s="67"/>
      <c r="E35" s="6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X35" s="67"/>
      <c r="Y35" s="67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4:38" x14ac:dyDescent="0.25">
      <c r="D36" s="68"/>
      <c r="E36" s="68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X36" s="68"/>
      <c r="Y36" s="68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4:38" x14ac:dyDescent="0.25">
      <c r="D37" s="67"/>
      <c r="E37" s="6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X37" s="67"/>
      <c r="Y37" s="67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4:38" x14ac:dyDescent="0.25">
      <c r="D38" s="68"/>
      <c r="E38" s="68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X38" s="68"/>
      <c r="Y38" s="68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4:38" x14ac:dyDescent="0.25">
      <c r="D39" s="67"/>
      <c r="E39" s="6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X39" s="67"/>
      <c r="Y39" s="67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4:38" x14ac:dyDescent="0.25">
      <c r="D40" s="68"/>
      <c r="E40" s="68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X40" s="68"/>
      <c r="Y40" s="68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4:38" x14ac:dyDescent="0.25">
      <c r="D41" s="67"/>
      <c r="E41" s="6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X41" s="67"/>
      <c r="Y41" s="67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4:38" x14ac:dyDescent="0.25">
      <c r="D42" s="68"/>
      <c r="E42" s="68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X42" s="68"/>
      <c r="Y42" s="68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4:38" x14ac:dyDescent="0.25">
      <c r="D43" s="67"/>
      <c r="E43" s="6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X43" s="67"/>
      <c r="Y43" s="67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4:38" x14ac:dyDescent="0.25">
      <c r="D44" s="68"/>
      <c r="E44" s="68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X44" s="68"/>
      <c r="Y44" s="68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4:38" x14ac:dyDescent="0.25">
      <c r="D45" s="67"/>
      <c r="E45" s="6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X45" s="67"/>
      <c r="Y45" s="67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4:38" x14ac:dyDescent="0.25">
      <c r="D46" s="68"/>
      <c r="E46" s="68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X46" s="68"/>
      <c r="Y46" s="68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4:38" x14ac:dyDescent="0.25">
      <c r="D47" s="67"/>
      <c r="E47" s="6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4:38" x14ac:dyDescent="0.25">
      <c r="D48" s="68"/>
      <c r="E48" s="68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</sheetData>
  <mergeCells count="82">
    <mergeCell ref="D13:D14"/>
    <mergeCell ref="E13:E14"/>
    <mergeCell ref="G6:L7"/>
    <mergeCell ref="D9:D10"/>
    <mergeCell ref="E9:E10"/>
    <mergeCell ref="D11:D12"/>
    <mergeCell ref="E11:E12"/>
    <mergeCell ref="D15:D16"/>
    <mergeCell ref="E15:E16"/>
    <mergeCell ref="D17:D18"/>
    <mergeCell ref="E17:E18"/>
    <mergeCell ref="D19:D20"/>
    <mergeCell ref="E19:E20"/>
    <mergeCell ref="D21:D22"/>
    <mergeCell ref="E21:E22"/>
    <mergeCell ref="D23:D24"/>
    <mergeCell ref="E23:E24"/>
    <mergeCell ref="D25:D26"/>
    <mergeCell ref="E25:E26"/>
    <mergeCell ref="D37:D38"/>
    <mergeCell ref="E37:E38"/>
    <mergeCell ref="D27:D28"/>
    <mergeCell ref="E27:E28"/>
    <mergeCell ref="D29:D30"/>
    <mergeCell ref="E29:E30"/>
    <mergeCell ref="D31:D32"/>
    <mergeCell ref="E31:E32"/>
    <mergeCell ref="X19:X20"/>
    <mergeCell ref="Y19:Y20"/>
    <mergeCell ref="D45:D46"/>
    <mergeCell ref="E45:E46"/>
    <mergeCell ref="D47:D48"/>
    <mergeCell ref="E47:E48"/>
    <mergeCell ref="D39:D40"/>
    <mergeCell ref="E39:E40"/>
    <mergeCell ref="D41:D42"/>
    <mergeCell ref="E41:E42"/>
    <mergeCell ref="D43:D44"/>
    <mergeCell ref="E43:E44"/>
    <mergeCell ref="D33:D34"/>
    <mergeCell ref="E33:E34"/>
    <mergeCell ref="D35:D36"/>
    <mergeCell ref="E35:E36"/>
    <mergeCell ref="X31:X32"/>
    <mergeCell ref="Y31:Y32"/>
    <mergeCell ref="X21:X22"/>
    <mergeCell ref="Y21:Y22"/>
    <mergeCell ref="X23:X24"/>
    <mergeCell ref="Y23:Y24"/>
    <mergeCell ref="X43:X44"/>
    <mergeCell ref="Y43:Y44"/>
    <mergeCell ref="X45:X46"/>
    <mergeCell ref="Y45:Y46"/>
    <mergeCell ref="X33:X34"/>
    <mergeCell ref="Y33:Y34"/>
    <mergeCell ref="X35:X36"/>
    <mergeCell ref="Y35:Y36"/>
    <mergeCell ref="X17:X18"/>
    <mergeCell ref="Y17:Y18"/>
    <mergeCell ref="AA4:AF5"/>
    <mergeCell ref="X7:X8"/>
    <mergeCell ref="Y7:Y8"/>
    <mergeCell ref="X9:X10"/>
    <mergeCell ref="Y9:Y10"/>
    <mergeCell ref="X11:X12"/>
    <mergeCell ref="Y11:Y12"/>
    <mergeCell ref="X13:X14"/>
    <mergeCell ref="Y13:Y14"/>
    <mergeCell ref="X15:X16"/>
    <mergeCell ref="Y15:Y16"/>
    <mergeCell ref="X25:X26"/>
    <mergeCell ref="Y25:Y26"/>
    <mergeCell ref="X27:X28"/>
    <mergeCell ref="Y27:Y28"/>
    <mergeCell ref="X29:X30"/>
    <mergeCell ref="Y29:Y30"/>
    <mergeCell ref="X37:X38"/>
    <mergeCell ref="Y37:Y38"/>
    <mergeCell ref="X39:X40"/>
    <mergeCell ref="Y39:Y40"/>
    <mergeCell ref="X41:X42"/>
    <mergeCell ref="Y41:Y4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4108E-FECF-4019-9EF1-226D6C25138B}">
  <dimension ref="G3:R30"/>
  <sheetViews>
    <sheetView topLeftCell="C1" workbookViewId="0">
      <selection activeCell="O23" sqref="O23"/>
    </sheetView>
  </sheetViews>
  <sheetFormatPr baseColWidth="10" defaultRowHeight="15" x14ac:dyDescent="0.25"/>
  <cols>
    <col min="4" max="4" width="5.7109375" customWidth="1"/>
    <col min="5" max="5" width="7.140625" customWidth="1"/>
    <col min="6" max="6" width="15" customWidth="1"/>
    <col min="7" max="7" width="16.85546875" hidden="1" customWidth="1"/>
    <col min="8" max="8" width="23" customWidth="1"/>
    <col min="9" max="9" width="21.5703125" customWidth="1"/>
    <col min="10" max="10" width="19" customWidth="1"/>
    <col min="11" max="11" width="20.85546875" customWidth="1"/>
    <col min="12" max="12" width="13.7109375" customWidth="1"/>
    <col min="13" max="13" width="3.85546875" customWidth="1"/>
    <col min="14" max="14" width="7.28515625" customWidth="1"/>
    <col min="15" max="15" width="18.5703125" customWidth="1"/>
    <col min="16" max="16" width="18" customWidth="1"/>
    <col min="17" max="17" width="19.85546875" customWidth="1"/>
    <col min="18" max="18" width="19.5703125" style="9" customWidth="1"/>
  </cols>
  <sheetData>
    <row r="3" spans="8:18" ht="15" customHeight="1" x14ac:dyDescent="0.25">
      <c r="H3" s="168" t="s">
        <v>186</v>
      </c>
      <c r="I3" s="132"/>
      <c r="J3" s="132"/>
      <c r="P3" s="165" t="s">
        <v>212</v>
      </c>
      <c r="Q3" s="166"/>
      <c r="R3" s="166"/>
    </row>
    <row r="4" spans="8:18" ht="15" customHeight="1" x14ac:dyDescent="0.25">
      <c r="H4" s="134"/>
      <c r="I4" s="135"/>
      <c r="J4" s="135"/>
      <c r="K4" s="9"/>
      <c r="P4" s="165"/>
      <c r="Q4" s="166"/>
      <c r="R4" s="166"/>
    </row>
    <row r="5" spans="8:18" ht="19.5" customHeight="1" x14ac:dyDescent="0.25"/>
    <row r="6" spans="8:18" ht="21" x14ac:dyDescent="0.35">
      <c r="H6" s="1" t="s">
        <v>0</v>
      </c>
      <c r="I6" s="7" t="s">
        <v>1</v>
      </c>
      <c r="J6" s="20" t="s">
        <v>190</v>
      </c>
      <c r="L6" s="167" t="s">
        <v>191</v>
      </c>
      <c r="P6" s="7" t="s">
        <v>0</v>
      </c>
      <c r="Q6" s="7" t="s">
        <v>1</v>
      </c>
      <c r="R6" s="20" t="s">
        <v>190</v>
      </c>
    </row>
    <row r="7" spans="8:18" ht="21" customHeight="1" x14ac:dyDescent="0.25">
      <c r="H7" s="67" t="s">
        <v>187</v>
      </c>
      <c r="I7" s="67" t="s">
        <v>188</v>
      </c>
      <c r="J7" s="18">
        <v>1200</v>
      </c>
      <c r="L7" s="167"/>
      <c r="P7" s="67" t="s">
        <v>213</v>
      </c>
      <c r="Q7" s="67" t="s">
        <v>214</v>
      </c>
      <c r="R7" s="18">
        <v>1200</v>
      </c>
    </row>
    <row r="8" spans="8:18" ht="22.5" customHeight="1" x14ac:dyDescent="0.25">
      <c r="H8" s="68"/>
      <c r="I8" s="68"/>
      <c r="J8" s="21" t="s">
        <v>189</v>
      </c>
      <c r="L8" s="167"/>
      <c r="P8" s="68"/>
      <c r="Q8" s="68"/>
      <c r="R8" s="18" t="s">
        <v>215</v>
      </c>
    </row>
    <row r="9" spans="8:18" ht="21" customHeight="1" x14ac:dyDescent="0.25">
      <c r="H9" s="67" t="s">
        <v>192</v>
      </c>
      <c r="I9" s="67" t="s">
        <v>193</v>
      </c>
      <c r="J9" s="18">
        <v>1200</v>
      </c>
      <c r="L9" s="167"/>
      <c r="P9" s="67" t="s">
        <v>216</v>
      </c>
      <c r="Q9" s="67"/>
      <c r="R9" s="18">
        <v>1200</v>
      </c>
    </row>
    <row r="10" spans="8:18" ht="27.75" customHeight="1" x14ac:dyDescent="0.25">
      <c r="H10" s="68"/>
      <c r="I10" s="68"/>
      <c r="J10" s="21" t="s">
        <v>194</v>
      </c>
      <c r="L10" s="167"/>
      <c r="P10" s="68"/>
      <c r="Q10" s="68"/>
      <c r="R10" s="18" t="s">
        <v>217</v>
      </c>
    </row>
    <row r="11" spans="8:18" ht="29.25" customHeight="1" x14ac:dyDescent="0.25">
      <c r="H11" s="67" t="s">
        <v>195</v>
      </c>
      <c r="I11" s="67" t="s">
        <v>196</v>
      </c>
      <c r="J11" s="18">
        <v>1200</v>
      </c>
      <c r="L11" s="167"/>
      <c r="P11" s="67" t="s">
        <v>218</v>
      </c>
      <c r="Q11" s="67"/>
      <c r="R11" s="18">
        <v>1200</v>
      </c>
    </row>
    <row r="12" spans="8:18" ht="15" customHeight="1" x14ac:dyDescent="0.25">
      <c r="H12" s="68"/>
      <c r="I12" s="68"/>
      <c r="J12" s="21" t="s">
        <v>197</v>
      </c>
      <c r="L12" s="167"/>
      <c r="P12" s="68"/>
      <c r="Q12" s="68"/>
      <c r="R12" s="18" t="s">
        <v>219</v>
      </c>
    </row>
    <row r="13" spans="8:18" ht="15" customHeight="1" x14ac:dyDescent="0.25">
      <c r="H13" s="67" t="s">
        <v>198</v>
      </c>
      <c r="I13" s="67" t="s">
        <v>201</v>
      </c>
      <c r="J13" s="18">
        <v>1200</v>
      </c>
      <c r="L13" s="167"/>
      <c r="P13" s="67" t="s">
        <v>220</v>
      </c>
      <c r="Q13" s="67"/>
      <c r="R13" s="18">
        <v>1200</v>
      </c>
    </row>
    <row r="14" spans="8:18" ht="21" customHeight="1" x14ac:dyDescent="0.25">
      <c r="H14" s="68"/>
      <c r="I14" s="68"/>
      <c r="J14" s="21" t="s">
        <v>199</v>
      </c>
      <c r="L14" s="167"/>
      <c r="P14" s="68"/>
      <c r="Q14" s="68"/>
      <c r="R14" s="18" t="s">
        <v>221</v>
      </c>
    </row>
    <row r="15" spans="8:18" ht="15" customHeight="1" x14ac:dyDescent="0.25">
      <c r="H15" s="67" t="s">
        <v>200</v>
      </c>
      <c r="I15" s="67"/>
      <c r="J15" s="18">
        <v>1200</v>
      </c>
      <c r="L15" s="167"/>
      <c r="P15" s="67" t="s">
        <v>276</v>
      </c>
      <c r="Q15" s="67"/>
      <c r="R15" s="18">
        <v>1200</v>
      </c>
    </row>
    <row r="16" spans="8:18" ht="15" customHeight="1" x14ac:dyDescent="0.25">
      <c r="H16" s="68"/>
      <c r="I16" s="68"/>
      <c r="J16" s="21" t="s">
        <v>202</v>
      </c>
      <c r="L16" s="167"/>
      <c r="P16" s="68"/>
      <c r="Q16" s="68"/>
      <c r="R16" s="18" t="s">
        <v>277</v>
      </c>
    </row>
    <row r="17" spans="8:18" ht="15" customHeight="1" x14ac:dyDescent="0.25">
      <c r="H17" s="67" t="s">
        <v>203</v>
      </c>
      <c r="I17" s="67" t="s">
        <v>204</v>
      </c>
      <c r="J17" s="18">
        <v>1200</v>
      </c>
      <c r="L17" s="167"/>
      <c r="P17" s="67" t="s">
        <v>370</v>
      </c>
      <c r="Q17" s="67" t="s">
        <v>371</v>
      </c>
      <c r="R17" s="18" t="s">
        <v>373</v>
      </c>
    </row>
    <row r="18" spans="8:18" ht="15" customHeight="1" x14ac:dyDescent="0.25">
      <c r="H18" s="68"/>
      <c r="I18" s="68"/>
      <c r="J18" s="21" t="s">
        <v>205</v>
      </c>
      <c r="L18" s="167"/>
      <c r="P18" s="68"/>
      <c r="Q18" s="68"/>
      <c r="R18" s="18" t="s">
        <v>372</v>
      </c>
    </row>
    <row r="19" spans="8:18" ht="15" customHeight="1" x14ac:dyDescent="0.25">
      <c r="H19" s="67" t="s">
        <v>206</v>
      </c>
      <c r="I19" s="67" t="s">
        <v>207</v>
      </c>
      <c r="J19" s="18">
        <v>1200</v>
      </c>
      <c r="L19" s="167"/>
      <c r="P19" s="67"/>
      <c r="Q19" s="14"/>
      <c r="R19" s="18"/>
    </row>
    <row r="20" spans="8:18" ht="15" customHeight="1" x14ac:dyDescent="0.25">
      <c r="H20" s="68"/>
      <c r="I20" s="68"/>
      <c r="J20" s="21" t="s">
        <v>208</v>
      </c>
      <c r="L20" s="167"/>
      <c r="P20" s="68"/>
      <c r="Q20" s="15"/>
      <c r="R20" s="18"/>
    </row>
    <row r="21" spans="8:18" ht="15" customHeight="1" x14ac:dyDescent="0.25">
      <c r="H21" s="67" t="s">
        <v>209</v>
      </c>
      <c r="I21" s="67" t="s">
        <v>211</v>
      </c>
      <c r="J21" s="18">
        <v>1200</v>
      </c>
      <c r="L21" s="167"/>
      <c r="P21" s="11"/>
      <c r="Q21" s="11"/>
      <c r="R21" s="18"/>
    </row>
    <row r="22" spans="8:18" ht="15" customHeight="1" x14ac:dyDescent="0.25">
      <c r="H22" s="68"/>
      <c r="I22" s="68"/>
      <c r="J22" s="21" t="s">
        <v>210</v>
      </c>
      <c r="L22" s="167"/>
      <c r="P22" s="11"/>
      <c r="Q22" s="11"/>
      <c r="R22" s="18"/>
    </row>
    <row r="23" spans="8:18" ht="15" customHeight="1" x14ac:dyDescent="0.25">
      <c r="H23" s="67" t="s">
        <v>231</v>
      </c>
      <c r="I23" s="67"/>
      <c r="J23" s="18" t="s">
        <v>235</v>
      </c>
      <c r="L23" s="167"/>
      <c r="P23" s="14"/>
      <c r="Q23" s="14"/>
      <c r="R23" s="18"/>
    </row>
    <row r="24" spans="8:18" ht="15" customHeight="1" x14ac:dyDescent="0.25">
      <c r="H24" s="68"/>
      <c r="I24" s="68"/>
      <c r="J24" s="21" t="s">
        <v>234</v>
      </c>
      <c r="L24" s="167"/>
      <c r="P24" s="15"/>
      <c r="Q24" s="15"/>
      <c r="R24" s="18"/>
    </row>
    <row r="25" spans="8:18" ht="15" customHeight="1" x14ac:dyDescent="0.25">
      <c r="H25" s="67" t="s">
        <v>232</v>
      </c>
      <c r="I25" s="67" t="s">
        <v>233</v>
      </c>
      <c r="J25" s="18" t="s">
        <v>235</v>
      </c>
      <c r="L25" s="167"/>
      <c r="P25" s="11"/>
      <c r="Q25" s="11"/>
      <c r="R25" s="18"/>
    </row>
    <row r="26" spans="8:18" ht="15" customHeight="1" x14ac:dyDescent="0.25">
      <c r="H26" s="68"/>
      <c r="I26" s="68"/>
      <c r="J26" s="21" t="s">
        <v>236</v>
      </c>
      <c r="L26" s="167"/>
      <c r="P26" s="11"/>
      <c r="Q26" s="11"/>
      <c r="R26" s="18"/>
    </row>
    <row r="27" spans="8:18" ht="15" customHeight="1" x14ac:dyDescent="0.25">
      <c r="H27" s="67" t="s">
        <v>206</v>
      </c>
      <c r="I27" s="67" t="s">
        <v>207</v>
      </c>
      <c r="J27" s="18">
        <v>1200</v>
      </c>
      <c r="L27" s="10"/>
      <c r="P27" s="67"/>
      <c r="Q27" s="67"/>
      <c r="R27" s="18"/>
    </row>
    <row r="28" spans="8:18" ht="15" customHeight="1" x14ac:dyDescent="0.25">
      <c r="H28" s="68"/>
      <c r="I28" s="68"/>
      <c r="J28" s="21" t="s">
        <v>208</v>
      </c>
      <c r="L28" s="10"/>
      <c r="P28" s="68"/>
      <c r="Q28" s="68"/>
      <c r="R28" s="18"/>
    </row>
    <row r="29" spans="8:18" x14ac:dyDescent="0.25">
      <c r="H29" s="67" t="s">
        <v>650</v>
      </c>
      <c r="I29" s="67"/>
      <c r="J29" s="18">
        <v>1200</v>
      </c>
    </row>
    <row r="30" spans="8:18" x14ac:dyDescent="0.25">
      <c r="H30" s="68"/>
      <c r="I30" s="68"/>
      <c r="J30" s="21" t="s">
        <v>651</v>
      </c>
    </row>
  </sheetData>
  <mergeCells count="42">
    <mergeCell ref="H29:H30"/>
    <mergeCell ref="I29:I30"/>
    <mergeCell ref="L6:L26"/>
    <mergeCell ref="H21:H22"/>
    <mergeCell ref="H3:J4"/>
    <mergeCell ref="H23:H24"/>
    <mergeCell ref="I23:I24"/>
    <mergeCell ref="H7:H8"/>
    <mergeCell ref="I7:I8"/>
    <mergeCell ref="H9:H10"/>
    <mergeCell ref="I9:I10"/>
    <mergeCell ref="H27:H28"/>
    <mergeCell ref="I27:I28"/>
    <mergeCell ref="H19:H20"/>
    <mergeCell ref="I19:I20"/>
    <mergeCell ref="I11:I12"/>
    <mergeCell ref="I21:I22"/>
    <mergeCell ref="H25:H26"/>
    <mergeCell ref="I25:I26"/>
    <mergeCell ref="H13:H14"/>
    <mergeCell ref="I13:I14"/>
    <mergeCell ref="H15:H16"/>
    <mergeCell ref="I15:I16"/>
    <mergeCell ref="H17:H18"/>
    <mergeCell ref="I17:I18"/>
    <mergeCell ref="H11:H12"/>
    <mergeCell ref="P17:P18"/>
    <mergeCell ref="P19:P20"/>
    <mergeCell ref="Q7:Q8"/>
    <mergeCell ref="P3:R4"/>
    <mergeCell ref="Q27:Q28"/>
    <mergeCell ref="Q9:Q10"/>
    <mergeCell ref="Q11:Q12"/>
    <mergeCell ref="Q13:Q14"/>
    <mergeCell ref="Q15:Q16"/>
    <mergeCell ref="Q17:Q18"/>
    <mergeCell ref="P27:P28"/>
    <mergeCell ref="P7:P8"/>
    <mergeCell ref="P9:P10"/>
    <mergeCell ref="P11:P12"/>
    <mergeCell ref="P13:P14"/>
    <mergeCell ref="P15:P16"/>
  </mergeCells>
  <phoneticPr fontId="7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499B1-404E-4262-A279-20D8EAABB680}">
  <dimension ref="B4:AF46"/>
  <sheetViews>
    <sheetView rightToLeft="1" topLeftCell="K1" workbookViewId="0">
      <selection activeCell="T13" sqref="T13"/>
    </sheetView>
  </sheetViews>
  <sheetFormatPr baseColWidth="10" defaultRowHeight="15" x14ac:dyDescent="0.25"/>
  <cols>
    <col min="2" max="2" width="18.5703125" bestFit="1" customWidth="1"/>
    <col min="3" max="3" width="12.7109375" bestFit="1" customWidth="1"/>
    <col min="4" max="4" width="22.5703125" bestFit="1" customWidth="1"/>
    <col min="5" max="5" width="18.7109375" bestFit="1" customWidth="1"/>
    <col min="18" max="18" width="18.5703125" bestFit="1" customWidth="1"/>
    <col min="20" max="20" width="22.5703125" bestFit="1" customWidth="1"/>
    <col min="21" max="21" width="18.7109375" bestFit="1" customWidth="1"/>
  </cols>
  <sheetData>
    <row r="4" spans="2:32" x14ac:dyDescent="0.25">
      <c r="E4" s="153" t="s">
        <v>62</v>
      </c>
      <c r="F4" s="154"/>
      <c r="G4" s="154"/>
      <c r="H4" s="154"/>
      <c r="I4" s="154"/>
      <c r="J4" s="155"/>
      <c r="U4" s="153" t="s">
        <v>61</v>
      </c>
      <c r="V4" s="154"/>
      <c r="W4" s="154"/>
      <c r="X4" s="154"/>
      <c r="Y4" s="154"/>
      <c r="Z4" s="155"/>
    </row>
    <row r="5" spans="2:32" x14ac:dyDescent="0.25">
      <c r="E5" s="156"/>
      <c r="F5" s="157"/>
      <c r="G5" s="157"/>
      <c r="H5" s="157"/>
      <c r="I5" s="157"/>
      <c r="J5" s="158"/>
      <c r="U5" s="156"/>
      <c r="V5" s="157"/>
      <c r="W5" s="157"/>
      <c r="X5" s="157"/>
      <c r="Y5" s="157"/>
      <c r="Z5" s="158"/>
    </row>
    <row r="6" spans="2:32" ht="21" x14ac:dyDescent="0.35">
      <c r="B6" s="1" t="s">
        <v>0</v>
      </c>
      <c r="C6" s="1" t="s">
        <v>1</v>
      </c>
      <c r="D6" s="1" t="s">
        <v>2</v>
      </c>
      <c r="E6" s="7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R6" s="1" t="s">
        <v>0</v>
      </c>
      <c r="S6" s="1" t="s">
        <v>1</v>
      </c>
      <c r="T6" s="1" t="s">
        <v>2</v>
      </c>
      <c r="U6" s="7" t="s">
        <v>3</v>
      </c>
      <c r="V6" s="1" t="s">
        <v>4</v>
      </c>
      <c r="W6" s="1" t="s">
        <v>5</v>
      </c>
      <c r="X6" s="1" t="s">
        <v>6</v>
      </c>
      <c r="Y6" s="1" t="s">
        <v>7</v>
      </c>
      <c r="Z6" s="1" t="s">
        <v>8</v>
      </c>
      <c r="AA6" s="1" t="s">
        <v>9</v>
      </c>
      <c r="AB6" s="1" t="s">
        <v>10</v>
      </c>
      <c r="AC6" s="1" t="s">
        <v>11</v>
      </c>
      <c r="AD6" s="1" t="s">
        <v>12</v>
      </c>
      <c r="AE6" s="1" t="s">
        <v>13</v>
      </c>
      <c r="AF6" s="1" t="s">
        <v>14</v>
      </c>
    </row>
    <row r="7" spans="2:32" x14ac:dyDescent="0.25">
      <c r="B7" s="67" t="s">
        <v>633</v>
      </c>
      <c r="C7" s="67"/>
      <c r="D7" s="2">
        <v>250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R7" s="67" t="s">
        <v>659</v>
      </c>
      <c r="S7" s="67"/>
      <c r="T7" s="2">
        <v>250</v>
      </c>
      <c r="U7" s="2">
        <v>1200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2:32" x14ac:dyDescent="0.25">
      <c r="B8" s="68"/>
      <c r="C8" s="68"/>
      <c r="D8" s="2" t="s">
        <v>634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R8" s="68"/>
      <c r="S8" s="68"/>
      <c r="T8" s="2" t="s">
        <v>660</v>
      </c>
      <c r="U8" s="2" t="s">
        <v>660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2:32" x14ac:dyDescent="0.25">
      <c r="B9" s="67" t="s">
        <v>218</v>
      </c>
      <c r="C9" s="67"/>
      <c r="D9" s="2">
        <v>250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R9" s="67"/>
      <c r="S9" s="67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2:32" x14ac:dyDescent="0.25">
      <c r="B10" s="68"/>
      <c r="C10" s="68"/>
      <c r="D10" s="2" t="s">
        <v>635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R10" s="68"/>
      <c r="S10" s="68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2:32" x14ac:dyDescent="0.25">
      <c r="B11" s="67" t="s">
        <v>220</v>
      </c>
      <c r="C11" s="67"/>
      <c r="D11" s="2">
        <v>250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R11" s="67"/>
      <c r="S11" s="67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2:32" x14ac:dyDescent="0.25">
      <c r="B12" s="68"/>
      <c r="C12" s="68"/>
      <c r="D12" s="2" t="s">
        <v>636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R12" s="68"/>
      <c r="S12" s="68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2:32" x14ac:dyDescent="0.25">
      <c r="B13" s="67" t="s">
        <v>659</v>
      </c>
      <c r="C13" s="67"/>
      <c r="D13" s="2">
        <v>250</v>
      </c>
      <c r="E13" s="2">
        <v>1200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R13" s="67"/>
      <c r="S13" s="67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2:32" x14ac:dyDescent="0.25">
      <c r="B14" s="68"/>
      <c r="C14" s="68"/>
      <c r="D14" s="2" t="s">
        <v>660</v>
      </c>
      <c r="E14" s="2" t="s">
        <v>660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R14" s="68"/>
      <c r="S14" s="68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2:32" x14ac:dyDescent="0.25">
      <c r="B15" s="67"/>
      <c r="C15" s="67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67"/>
      <c r="S15" s="67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2:32" x14ac:dyDescent="0.25">
      <c r="B16" s="68"/>
      <c r="C16" s="68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R16" s="68"/>
      <c r="S16" s="68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2:32" x14ac:dyDescent="0.25">
      <c r="B17" s="67"/>
      <c r="C17" s="67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R17" s="67"/>
      <c r="S17" s="67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2:32" x14ac:dyDescent="0.25">
      <c r="B18" s="68"/>
      <c r="C18" s="68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R18" s="68"/>
      <c r="S18" s="68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2:32" x14ac:dyDescent="0.25">
      <c r="B19" s="67"/>
      <c r="C19" s="67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R19" s="67"/>
      <c r="S19" s="67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2:32" x14ac:dyDescent="0.25">
      <c r="B20" s="68"/>
      <c r="C20" s="68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R20" s="68"/>
      <c r="S20" s="68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2:32" x14ac:dyDescent="0.25">
      <c r="B21" s="67"/>
      <c r="C21" s="67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R21" s="67"/>
      <c r="S21" s="67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2:32" x14ac:dyDescent="0.25">
      <c r="B22" s="68"/>
      <c r="C22" s="68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R22" s="68"/>
      <c r="S22" s="68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2:32" x14ac:dyDescent="0.25">
      <c r="B23" s="67"/>
      <c r="C23" s="67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67"/>
      <c r="S23" s="67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2:32" x14ac:dyDescent="0.25">
      <c r="B24" s="68"/>
      <c r="C24" s="68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R24" s="68"/>
      <c r="S24" s="68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2:32" x14ac:dyDescent="0.25">
      <c r="B25" s="67"/>
      <c r="C25" s="67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67"/>
      <c r="S25" s="67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2:32" x14ac:dyDescent="0.25">
      <c r="B26" s="68"/>
      <c r="C26" s="68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R26" s="68"/>
      <c r="S26" s="68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2:32" x14ac:dyDescent="0.25">
      <c r="B27" s="67"/>
      <c r="C27" s="67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R27" s="67"/>
      <c r="S27" s="67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2:32" x14ac:dyDescent="0.25">
      <c r="B28" s="68"/>
      <c r="C28" s="68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R28" s="68"/>
      <c r="S28" s="68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2:32" x14ac:dyDescent="0.25">
      <c r="B29" s="67"/>
      <c r="C29" s="6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R29" s="67"/>
      <c r="S29" s="67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2:32" x14ac:dyDescent="0.25">
      <c r="B30" s="68"/>
      <c r="C30" s="68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R30" s="68"/>
      <c r="S30" s="68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2:32" x14ac:dyDescent="0.25">
      <c r="B31" s="67"/>
      <c r="C31" s="6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67"/>
      <c r="S31" s="67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2:32" x14ac:dyDescent="0.25">
      <c r="B32" s="68"/>
      <c r="C32" s="68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R32" s="68"/>
      <c r="S32" s="68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2:32" x14ac:dyDescent="0.25">
      <c r="B33" s="67"/>
      <c r="C33" s="6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R33" s="67"/>
      <c r="S33" s="67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2:32" x14ac:dyDescent="0.25">
      <c r="B34" s="68"/>
      <c r="C34" s="68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R34" s="68"/>
      <c r="S34" s="68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2:32" x14ac:dyDescent="0.25">
      <c r="B35" s="67"/>
      <c r="C35" s="6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R35" s="67"/>
      <c r="S35" s="67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2:32" x14ac:dyDescent="0.25">
      <c r="B36" s="68"/>
      <c r="C36" s="68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R36" s="68"/>
      <c r="S36" s="68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2:32" x14ac:dyDescent="0.25">
      <c r="B37" s="67"/>
      <c r="C37" s="6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R37" s="67"/>
      <c r="S37" s="67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2:32" x14ac:dyDescent="0.25">
      <c r="B38" s="68"/>
      <c r="C38" s="68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R38" s="68"/>
      <c r="S38" s="68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2:32" x14ac:dyDescent="0.25">
      <c r="B39" s="67"/>
      <c r="C39" s="67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R39" s="67"/>
      <c r="S39" s="67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2:32" x14ac:dyDescent="0.25">
      <c r="B40" s="68"/>
      <c r="C40" s="68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R40" s="68"/>
      <c r="S40" s="68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2:32" x14ac:dyDescent="0.25">
      <c r="B41" s="67"/>
      <c r="C41" s="67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R41" s="67"/>
      <c r="S41" s="67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2:32" x14ac:dyDescent="0.25">
      <c r="B42" s="68"/>
      <c r="C42" s="68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R42" s="68"/>
      <c r="S42" s="68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2:32" x14ac:dyDescent="0.25">
      <c r="B43" s="67"/>
      <c r="C43" s="67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R43" s="67"/>
      <c r="S43" s="67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2:32" x14ac:dyDescent="0.25">
      <c r="B44" s="68"/>
      <c r="C44" s="68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R44" s="68"/>
      <c r="S44" s="68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2:32" x14ac:dyDescent="0.25">
      <c r="B45" s="67"/>
      <c r="C45" s="67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R45" s="67"/>
      <c r="S45" s="67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2:32" x14ac:dyDescent="0.25">
      <c r="B46" s="68"/>
      <c r="C46" s="68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R46" s="68"/>
      <c r="S46" s="68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</sheetData>
  <mergeCells count="82">
    <mergeCell ref="R43:R44"/>
    <mergeCell ref="S43:S44"/>
    <mergeCell ref="R45:R46"/>
    <mergeCell ref="S45:S46"/>
    <mergeCell ref="R37:R38"/>
    <mergeCell ref="S37:S38"/>
    <mergeCell ref="R39:R40"/>
    <mergeCell ref="S39:S40"/>
    <mergeCell ref="R41:R42"/>
    <mergeCell ref="S41:S42"/>
    <mergeCell ref="R31:R32"/>
    <mergeCell ref="S31:S32"/>
    <mergeCell ref="R33:R34"/>
    <mergeCell ref="S33:S34"/>
    <mergeCell ref="R35:R36"/>
    <mergeCell ref="S35:S36"/>
    <mergeCell ref="R25:R26"/>
    <mergeCell ref="S25:S26"/>
    <mergeCell ref="R27:R28"/>
    <mergeCell ref="S27:S28"/>
    <mergeCell ref="R29:R30"/>
    <mergeCell ref="S29:S30"/>
    <mergeCell ref="R19:R20"/>
    <mergeCell ref="S19:S20"/>
    <mergeCell ref="R21:R22"/>
    <mergeCell ref="S21:S22"/>
    <mergeCell ref="R23:R24"/>
    <mergeCell ref="S23:S24"/>
    <mergeCell ref="S11:S12"/>
    <mergeCell ref="R13:R14"/>
    <mergeCell ref="S13:S14"/>
    <mergeCell ref="R15:R16"/>
    <mergeCell ref="S15:S16"/>
    <mergeCell ref="R17:R18"/>
    <mergeCell ref="S17:S18"/>
    <mergeCell ref="B43:B44"/>
    <mergeCell ref="C43:C44"/>
    <mergeCell ref="B45:B46"/>
    <mergeCell ref="C45:C46"/>
    <mergeCell ref="U4:Z5"/>
    <mergeCell ref="R7:R8"/>
    <mergeCell ref="S7:S8"/>
    <mergeCell ref="R9:R10"/>
    <mergeCell ref="S9:S10"/>
    <mergeCell ref="R11:R12"/>
    <mergeCell ref="B37:B38"/>
    <mergeCell ref="C37:C38"/>
    <mergeCell ref="B39:B40"/>
    <mergeCell ref="C39:C40"/>
    <mergeCell ref="B41:B42"/>
    <mergeCell ref="C41:C42"/>
    <mergeCell ref="B31:B32"/>
    <mergeCell ref="C31:C32"/>
    <mergeCell ref="B33:B34"/>
    <mergeCell ref="C33:C34"/>
    <mergeCell ref="B35:B36"/>
    <mergeCell ref="C35:C36"/>
    <mergeCell ref="B25:B26"/>
    <mergeCell ref="C25:C26"/>
    <mergeCell ref="B27:B28"/>
    <mergeCell ref="C27:C28"/>
    <mergeCell ref="B29:B30"/>
    <mergeCell ref="C29:C30"/>
    <mergeCell ref="B19:B20"/>
    <mergeCell ref="C19:C20"/>
    <mergeCell ref="B21:B22"/>
    <mergeCell ref="C21:C22"/>
    <mergeCell ref="B23:B24"/>
    <mergeCell ref="C23:C24"/>
    <mergeCell ref="B13:B14"/>
    <mergeCell ref="C13:C14"/>
    <mergeCell ref="B15:B16"/>
    <mergeCell ref="C15:C16"/>
    <mergeCell ref="B17:B18"/>
    <mergeCell ref="C17:C18"/>
    <mergeCell ref="E4:J5"/>
    <mergeCell ref="B7:B8"/>
    <mergeCell ref="C7:C8"/>
    <mergeCell ref="B9:B10"/>
    <mergeCell ref="C9:C10"/>
    <mergeCell ref="B11:B12"/>
    <mergeCell ref="C11:C1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CCE3-D54F-4B9E-B573-4906EEAEB8C1}">
  <dimension ref="B2:U41"/>
  <sheetViews>
    <sheetView topLeftCell="I1" workbookViewId="0">
      <selection activeCell="O18" sqref="O18"/>
    </sheetView>
  </sheetViews>
  <sheetFormatPr baseColWidth="10" defaultRowHeight="15" x14ac:dyDescent="0.25"/>
  <cols>
    <col min="2" max="2" width="22.28515625" customWidth="1"/>
    <col min="3" max="3" width="17.7109375" customWidth="1"/>
    <col min="4" max="4" width="16.85546875" customWidth="1"/>
    <col min="5" max="5" width="20.5703125" bestFit="1" customWidth="1"/>
    <col min="6" max="6" width="18.7109375" bestFit="1" customWidth="1"/>
    <col min="7" max="7" width="22.85546875" customWidth="1"/>
    <col min="8" max="8" width="21.42578125" customWidth="1"/>
    <col min="9" max="9" width="20.42578125" customWidth="1"/>
    <col min="10" max="10" width="18.85546875" customWidth="1"/>
    <col min="11" max="12" width="23.140625" bestFit="1" customWidth="1"/>
    <col min="15" max="15" width="22.85546875" customWidth="1"/>
    <col min="16" max="16" width="18.42578125" customWidth="1"/>
    <col min="17" max="17" width="16.140625" customWidth="1"/>
    <col min="18" max="18" width="27.5703125" customWidth="1"/>
    <col min="19" max="19" width="17.85546875" customWidth="1"/>
    <col min="20" max="21" width="18" bestFit="1" customWidth="1"/>
  </cols>
  <sheetData>
    <row r="2" spans="2:21" ht="36.75" customHeight="1" x14ac:dyDescent="0.25">
      <c r="B2" s="169" t="s">
        <v>359</v>
      </c>
      <c r="C2" s="170"/>
      <c r="D2" s="170"/>
      <c r="E2" s="170"/>
      <c r="F2" s="171"/>
      <c r="H2" s="172" t="s">
        <v>360</v>
      </c>
      <c r="I2" s="173"/>
      <c r="J2" s="173"/>
      <c r="K2" s="173"/>
      <c r="L2" s="173"/>
      <c r="Q2" s="169" t="s">
        <v>361</v>
      </c>
      <c r="R2" s="170"/>
      <c r="S2" s="170"/>
      <c r="T2" s="170"/>
      <c r="U2" s="171"/>
    </row>
    <row r="3" spans="2:21" ht="27" customHeight="1" x14ac:dyDescent="0.25">
      <c r="B3" s="19" t="s">
        <v>156</v>
      </c>
      <c r="C3" s="19" t="s">
        <v>291</v>
      </c>
      <c r="D3" s="19" t="s">
        <v>157</v>
      </c>
      <c r="E3" s="19" t="s">
        <v>158</v>
      </c>
      <c r="F3" s="19" t="s">
        <v>159</v>
      </c>
      <c r="H3" s="19" t="s">
        <v>156</v>
      </c>
      <c r="I3" s="19" t="s">
        <v>291</v>
      </c>
      <c r="J3" s="19" t="s">
        <v>157</v>
      </c>
      <c r="K3" s="19" t="s">
        <v>158</v>
      </c>
      <c r="L3" s="19" t="s">
        <v>159</v>
      </c>
      <c r="Q3" s="19" t="s">
        <v>156</v>
      </c>
      <c r="R3" s="19" t="s">
        <v>291</v>
      </c>
      <c r="S3" s="19" t="s">
        <v>157</v>
      </c>
      <c r="T3" s="19" t="s">
        <v>158</v>
      </c>
      <c r="U3" s="19" t="s">
        <v>159</v>
      </c>
    </row>
    <row r="4" spans="2:21" ht="30" customHeight="1" x14ac:dyDescent="0.25">
      <c r="B4" s="67" t="s">
        <v>297</v>
      </c>
      <c r="C4" s="67" t="s">
        <v>298</v>
      </c>
      <c r="D4" s="36"/>
      <c r="E4" s="31">
        <v>500</v>
      </c>
      <c r="F4" s="33">
        <v>2000</v>
      </c>
      <c r="H4" s="67" t="s">
        <v>300</v>
      </c>
      <c r="I4" s="67" t="s">
        <v>354</v>
      </c>
      <c r="J4" s="36"/>
      <c r="K4" s="4">
        <v>500</v>
      </c>
      <c r="L4" s="4">
        <v>2000</v>
      </c>
      <c r="Q4" s="67" t="s">
        <v>290</v>
      </c>
      <c r="R4" s="67" t="s">
        <v>292</v>
      </c>
      <c r="S4" s="36"/>
      <c r="T4" s="4">
        <v>500</v>
      </c>
      <c r="U4" s="4">
        <v>2000</v>
      </c>
    </row>
    <row r="5" spans="2:21" ht="24" customHeight="1" x14ac:dyDescent="0.25">
      <c r="B5" s="68"/>
      <c r="C5" s="68"/>
      <c r="D5" s="37"/>
      <c r="E5" s="32" t="s">
        <v>299</v>
      </c>
      <c r="F5" s="34" t="s">
        <v>299</v>
      </c>
      <c r="H5" s="68"/>
      <c r="I5" s="68"/>
      <c r="J5" s="37"/>
      <c r="K5" s="35" t="s">
        <v>301</v>
      </c>
      <c r="L5" s="35" t="s">
        <v>301</v>
      </c>
      <c r="Q5" s="68"/>
      <c r="R5" s="68"/>
      <c r="S5" s="38"/>
      <c r="T5" s="6" t="s">
        <v>293</v>
      </c>
      <c r="U5" s="6" t="s">
        <v>293</v>
      </c>
    </row>
    <row r="6" spans="2:21" ht="18.75" x14ac:dyDescent="0.25">
      <c r="B6" s="67" t="s">
        <v>304</v>
      </c>
      <c r="C6" s="67" t="s">
        <v>357</v>
      </c>
      <c r="D6" s="36"/>
      <c r="E6" s="31">
        <v>500</v>
      </c>
      <c r="F6" s="33">
        <v>2000</v>
      </c>
      <c r="H6" s="67" t="s">
        <v>302</v>
      </c>
      <c r="I6" s="67" t="s">
        <v>355</v>
      </c>
      <c r="J6" s="36"/>
      <c r="K6" s="4">
        <v>500</v>
      </c>
      <c r="L6" s="4">
        <v>2000</v>
      </c>
      <c r="Q6" s="67" t="s">
        <v>294</v>
      </c>
      <c r="R6" s="67" t="s">
        <v>295</v>
      </c>
      <c r="S6" s="36"/>
      <c r="T6" s="4">
        <v>500</v>
      </c>
      <c r="U6" s="4">
        <v>2000</v>
      </c>
    </row>
    <row r="7" spans="2:21" ht="15.75" x14ac:dyDescent="0.25">
      <c r="B7" s="68"/>
      <c r="C7" s="68"/>
      <c r="D7" s="37"/>
      <c r="E7" s="32" t="s">
        <v>305</v>
      </c>
      <c r="F7" s="34" t="s">
        <v>305</v>
      </c>
      <c r="H7" s="68"/>
      <c r="I7" s="68"/>
      <c r="J7" s="37"/>
      <c r="K7" s="35" t="s">
        <v>303</v>
      </c>
      <c r="L7" s="35" t="s">
        <v>303</v>
      </c>
      <c r="Q7" s="68"/>
      <c r="R7" s="68"/>
      <c r="S7" s="37"/>
      <c r="T7" s="5" t="s">
        <v>296</v>
      </c>
      <c r="U7" s="5" t="s">
        <v>296</v>
      </c>
    </row>
    <row r="8" spans="2:21" ht="18.75" x14ac:dyDescent="0.25">
      <c r="B8" s="67" t="s">
        <v>308</v>
      </c>
      <c r="C8" s="67" t="s">
        <v>309</v>
      </c>
      <c r="D8" s="36"/>
      <c r="E8" s="31">
        <v>500</v>
      </c>
      <c r="F8" s="33">
        <v>2000</v>
      </c>
      <c r="H8" s="67" t="s">
        <v>306</v>
      </c>
      <c r="I8" s="67" t="s">
        <v>356</v>
      </c>
      <c r="J8" s="36"/>
      <c r="K8" s="4">
        <v>500</v>
      </c>
      <c r="L8" s="4">
        <v>2000</v>
      </c>
      <c r="Q8" s="67" t="s">
        <v>336</v>
      </c>
      <c r="R8" s="67" t="s">
        <v>363</v>
      </c>
      <c r="S8" s="36"/>
      <c r="T8" s="4">
        <v>500</v>
      </c>
      <c r="U8" s="4">
        <v>2000</v>
      </c>
    </row>
    <row r="9" spans="2:21" ht="15.75" x14ac:dyDescent="0.25">
      <c r="B9" s="68"/>
      <c r="C9" s="68"/>
      <c r="D9" s="37"/>
      <c r="E9" s="32" t="s">
        <v>310</v>
      </c>
      <c r="F9" s="34" t="s">
        <v>310</v>
      </c>
      <c r="H9" s="68"/>
      <c r="I9" s="68"/>
      <c r="J9" s="37"/>
      <c r="K9" s="35" t="s">
        <v>307</v>
      </c>
      <c r="L9" s="35" t="s">
        <v>307</v>
      </c>
      <c r="Q9" s="68"/>
      <c r="R9" s="68"/>
      <c r="S9" s="37"/>
      <c r="T9" s="5" t="s">
        <v>337</v>
      </c>
      <c r="U9" s="5" t="s">
        <v>337</v>
      </c>
    </row>
    <row r="10" spans="2:21" ht="18.75" x14ac:dyDescent="0.25">
      <c r="B10" s="67" t="s">
        <v>314</v>
      </c>
      <c r="C10" s="67" t="s">
        <v>315</v>
      </c>
      <c r="D10" s="36"/>
      <c r="E10" s="31">
        <v>500</v>
      </c>
      <c r="F10" s="33">
        <v>2000</v>
      </c>
      <c r="H10" s="67" t="s">
        <v>311</v>
      </c>
      <c r="I10" s="67" t="s">
        <v>312</v>
      </c>
      <c r="J10" s="36"/>
      <c r="K10" s="4">
        <v>500</v>
      </c>
      <c r="L10" s="4">
        <v>2000</v>
      </c>
      <c r="Q10" s="67" t="s">
        <v>338</v>
      </c>
      <c r="R10" s="67" t="s">
        <v>339</v>
      </c>
      <c r="S10" s="36"/>
      <c r="T10" s="4">
        <v>500</v>
      </c>
      <c r="U10" s="4">
        <v>2000</v>
      </c>
    </row>
    <row r="11" spans="2:21" ht="15.75" x14ac:dyDescent="0.25">
      <c r="B11" s="68"/>
      <c r="C11" s="68"/>
      <c r="D11" s="38"/>
      <c r="E11" s="32" t="s">
        <v>316</v>
      </c>
      <c r="F11" s="34" t="s">
        <v>316</v>
      </c>
      <c r="H11" s="68"/>
      <c r="I11" s="68"/>
      <c r="J11" s="38"/>
      <c r="K11" s="35" t="s">
        <v>313</v>
      </c>
      <c r="L11" s="35" t="s">
        <v>313</v>
      </c>
      <c r="Q11" s="68"/>
      <c r="R11" s="68"/>
      <c r="S11" s="38"/>
      <c r="T11" s="5" t="s">
        <v>340</v>
      </c>
      <c r="U11" s="5" t="s">
        <v>340</v>
      </c>
    </row>
    <row r="12" spans="2:21" ht="18.75" x14ac:dyDescent="0.25">
      <c r="B12" s="67" t="s">
        <v>324</v>
      </c>
      <c r="C12" s="67" t="s">
        <v>322</v>
      </c>
      <c r="D12" s="36"/>
      <c r="E12" s="31">
        <v>500</v>
      </c>
      <c r="F12" s="33">
        <v>2000</v>
      </c>
      <c r="H12" s="67" t="s">
        <v>317</v>
      </c>
      <c r="I12" s="67" t="s">
        <v>358</v>
      </c>
      <c r="J12" s="36"/>
      <c r="K12" s="4">
        <v>500</v>
      </c>
      <c r="L12" s="4">
        <v>2000</v>
      </c>
      <c r="Q12" s="67" t="s">
        <v>341</v>
      </c>
      <c r="R12" s="67" t="s">
        <v>342</v>
      </c>
      <c r="S12" s="36"/>
      <c r="T12" s="4">
        <v>500</v>
      </c>
      <c r="U12" s="4">
        <v>2000</v>
      </c>
    </row>
    <row r="13" spans="2:21" ht="15.75" x14ac:dyDescent="0.25">
      <c r="B13" s="68"/>
      <c r="C13" s="68"/>
      <c r="D13" s="38"/>
      <c r="E13" s="32" t="s">
        <v>325</v>
      </c>
      <c r="F13" s="34" t="s">
        <v>325</v>
      </c>
      <c r="H13" s="68"/>
      <c r="I13" s="68"/>
      <c r="J13" s="38"/>
      <c r="K13" s="35" t="s">
        <v>318</v>
      </c>
      <c r="L13" s="35" t="s">
        <v>318</v>
      </c>
      <c r="Q13" s="68"/>
      <c r="R13" s="68"/>
      <c r="S13" s="38"/>
      <c r="T13" s="5" t="s">
        <v>343</v>
      </c>
      <c r="U13" s="5" t="s">
        <v>343</v>
      </c>
    </row>
    <row r="14" spans="2:21" ht="18.75" x14ac:dyDescent="0.25">
      <c r="B14" s="67" t="s">
        <v>326</v>
      </c>
      <c r="C14" s="67" t="s">
        <v>327</v>
      </c>
      <c r="D14" s="36"/>
      <c r="E14" s="31">
        <v>500</v>
      </c>
      <c r="F14" s="33">
        <v>2000</v>
      </c>
      <c r="H14" s="67" t="s">
        <v>319</v>
      </c>
      <c r="I14" s="67" t="s">
        <v>201</v>
      </c>
      <c r="J14" s="36"/>
      <c r="K14" s="4">
        <v>500</v>
      </c>
      <c r="L14" s="4">
        <v>2000</v>
      </c>
      <c r="Q14" s="67" t="s">
        <v>344</v>
      </c>
      <c r="R14" s="67" t="s">
        <v>345</v>
      </c>
      <c r="S14" s="36"/>
      <c r="T14" s="4">
        <v>500</v>
      </c>
      <c r="U14" s="4">
        <v>2000</v>
      </c>
    </row>
    <row r="15" spans="2:21" ht="15.75" x14ac:dyDescent="0.25">
      <c r="B15" s="68"/>
      <c r="C15" s="68"/>
      <c r="D15" s="37"/>
      <c r="E15" s="32" t="s">
        <v>264</v>
      </c>
      <c r="F15" s="34" t="s">
        <v>264</v>
      </c>
      <c r="H15" s="68"/>
      <c r="I15" s="68"/>
      <c r="J15" s="37"/>
      <c r="K15" s="35" t="s">
        <v>320</v>
      </c>
      <c r="L15" s="35" t="s">
        <v>320</v>
      </c>
      <c r="Q15" s="68"/>
      <c r="R15" s="68"/>
      <c r="S15" s="37"/>
      <c r="T15" s="5" t="s">
        <v>346</v>
      </c>
      <c r="U15" s="5" t="s">
        <v>346</v>
      </c>
    </row>
    <row r="16" spans="2:21" ht="18.75" x14ac:dyDescent="0.25">
      <c r="B16" s="67" t="s">
        <v>334</v>
      </c>
      <c r="C16" s="67" t="s">
        <v>362</v>
      </c>
      <c r="D16" s="36"/>
      <c r="E16" s="31">
        <v>500</v>
      </c>
      <c r="F16" s="33">
        <v>2000</v>
      </c>
      <c r="H16" s="67" t="s">
        <v>321</v>
      </c>
      <c r="I16" s="67" t="s">
        <v>322</v>
      </c>
      <c r="J16" s="36"/>
      <c r="K16" s="4">
        <v>500</v>
      </c>
      <c r="L16" s="4">
        <v>2000</v>
      </c>
      <c r="Q16" s="67" t="s">
        <v>347</v>
      </c>
      <c r="R16" s="67" t="s">
        <v>364</v>
      </c>
      <c r="S16" s="36"/>
      <c r="T16" s="4">
        <v>500</v>
      </c>
      <c r="U16" s="4">
        <v>2000</v>
      </c>
    </row>
    <row r="17" spans="2:21" ht="15.75" x14ac:dyDescent="0.25">
      <c r="B17" s="68"/>
      <c r="C17" s="68"/>
      <c r="D17" s="37"/>
      <c r="E17" s="32" t="s">
        <v>335</v>
      </c>
      <c r="F17" s="34" t="s">
        <v>335</v>
      </c>
      <c r="H17" s="68"/>
      <c r="I17" s="68"/>
      <c r="J17" s="37"/>
      <c r="K17" s="35" t="s">
        <v>323</v>
      </c>
      <c r="L17" s="35" t="s">
        <v>323</v>
      </c>
      <c r="Q17" s="68"/>
      <c r="R17" s="68"/>
      <c r="S17" s="37"/>
      <c r="T17" s="5" t="s">
        <v>348</v>
      </c>
      <c r="U17" s="5" t="s">
        <v>348</v>
      </c>
    </row>
    <row r="18" spans="2:21" ht="18.75" x14ac:dyDescent="0.25">
      <c r="B18" s="67"/>
      <c r="C18" s="67"/>
      <c r="D18" s="4"/>
      <c r="E18" s="4"/>
      <c r="F18" s="33"/>
      <c r="H18" s="67" t="s">
        <v>328</v>
      </c>
      <c r="I18" s="67" t="s">
        <v>329</v>
      </c>
      <c r="J18" s="36"/>
      <c r="K18" s="4">
        <v>500</v>
      </c>
      <c r="L18" s="4">
        <v>2000</v>
      </c>
      <c r="Q18" s="67" t="s">
        <v>349</v>
      </c>
      <c r="R18" s="67" t="s">
        <v>365</v>
      </c>
      <c r="S18" s="36"/>
      <c r="T18" s="4">
        <v>500</v>
      </c>
      <c r="U18" s="4">
        <v>2000</v>
      </c>
    </row>
    <row r="19" spans="2:21" ht="18" customHeight="1" x14ac:dyDescent="0.25">
      <c r="B19" s="68"/>
      <c r="C19" s="68"/>
      <c r="D19" s="5"/>
      <c r="E19" s="5"/>
      <c r="F19" s="5"/>
      <c r="H19" s="68"/>
      <c r="I19" s="68"/>
      <c r="J19" s="37"/>
      <c r="K19" s="35" t="s">
        <v>330</v>
      </c>
      <c r="L19" s="35" t="s">
        <v>330</v>
      </c>
      <c r="Q19" s="68"/>
      <c r="R19" s="68"/>
      <c r="S19" s="37"/>
      <c r="T19" s="5" t="s">
        <v>351</v>
      </c>
      <c r="U19" s="5" t="s">
        <v>351</v>
      </c>
    </row>
    <row r="20" spans="2:21" ht="23.25" customHeight="1" x14ac:dyDescent="0.25">
      <c r="B20" s="67"/>
      <c r="C20" s="67"/>
      <c r="D20" s="4"/>
      <c r="E20" s="4"/>
      <c r="F20" s="4"/>
      <c r="H20" s="67" t="s">
        <v>331</v>
      </c>
      <c r="I20" s="67" t="s">
        <v>332</v>
      </c>
      <c r="J20" s="36"/>
      <c r="K20" s="4">
        <v>500</v>
      </c>
      <c r="L20" s="4">
        <v>2000</v>
      </c>
      <c r="Q20" s="67" t="s">
        <v>350</v>
      </c>
      <c r="R20" s="67" t="s">
        <v>365</v>
      </c>
      <c r="S20" s="36"/>
      <c r="T20" s="4">
        <v>500</v>
      </c>
      <c r="U20" s="4">
        <v>2000</v>
      </c>
    </row>
    <row r="21" spans="2:21" x14ac:dyDescent="0.25">
      <c r="B21" s="68"/>
      <c r="C21" s="68"/>
      <c r="D21" s="5"/>
      <c r="E21" s="5"/>
      <c r="F21" s="5"/>
      <c r="H21" s="68"/>
      <c r="I21" s="68"/>
      <c r="J21" s="37"/>
      <c r="K21" s="35" t="s">
        <v>333</v>
      </c>
      <c r="L21" s="35" t="s">
        <v>333</v>
      </c>
      <c r="Q21" s="68"/>
      <c r="R21" s="68"/>
      <c r="S21" s="37"/>
      <c r="T21" s="5" t="s">
        <v>351</v>
      </c>
      <c r="U21" s="5" t="s">
        <v>351</v>
      </c>
    </row>
    <row r="22" spans="2:21" ht="18.75" x14ac:dyDescent="0.25">
      <c r="B22" s="67"/>
      <c r="C22" s="67"/>
      <c r="D22" s="4"/>
      <c r="E22" s="4"/>
      <c r="F22" s="4"/>
      <c r="H22" s="67" t="s">
        <v>367</v>
      </c>
      <c r="I22" s="67" t="s">
        <v>368</v>
      </c>
      <c r="J22" s="37"/>
      <c r="K22" s="4">
        <v>500</v>
      </c>
      <c r="L22" s="4">
        <v>2000</v>
      </c>
      <c r="Q22" s="67" t="s">
        <v>352</v>
      </c>
      <c r="R22" s="67" t="s">
        <v>366</v>
      </c>
      <c r="S22" s="36"/>
      <c r="T22" s="4">
        <v>500</v>
      </c>
      <c r="U22" s="4">
        <v>2000</v>
      </c>
    </row>
    <row r="23" spans="2:21" x14ac:dyDescent="0.25">
      <c r="B23" s="68"/>
      <c r="C23" s="68"/>
      <c r="D23" s="5"/>
      <c r="E23" s="5"/>
      <c r="F23" s="5"/>
      <c r="H23" s="68"/>
      <c r="I23" s="68"/>
      <c r="J23" s="37"/>
      <c r="K23" s="35" t="s">
        <v>369</v>
      </c>
      <c r="L23" s="35" t="s">
        <v>369</v>
      </c>
      <c r="Q23" s="68"/>
      <c r="R23" s="68"/>
      <c r="S23" s="37"/>
      <c r="T23" s="5" t="s">
        <v>353</v>
      </c>
      <c r="U23" s="5" t="s">
        <v>353</v>
      </c>
    </row>
    <row r="24" spans="2:21" ht="18.75" x14ac:dyDescent="0.25">
      <c r="B24" s="67"/>
      <c r="C24" s="67"/>
      <c r="D24" s="4"/>
      <c r="E24" s="4"/>
      <c r="F24" s="4"/>
      <c r="H24" s="67"/>
      <c r="I24" s="67"/>
      <c r="J24" s="4"/>
      <c r="K24" s="4"/>
      <c r="L24" s="4"/>
      <c r="Q24" s="67"/>
      <c r="R24" s="67"/>
      <c r="S24" s="36"/>
      <c r="T24" s="4"/>
      <c r="U24" s="4"/>
    </row>
    <row r="25" spans="2:21" x14ac:dyDescent="0.25">
      <c r="B25" s="68"/>
      <c r="C25" s="68"/>
      <c r="D25" s="5"/>
      <c r="E25" s="5"/>
      <c r="F25" s="5"/>
      <c r="H25" s="68"/>
      <c r="I25" s="68"/>
      <c r="J25" s="5"/>
      <c r="K25" s="5"/>
      <c r="L25" s="5"/>
      <c r="Q25" s="68"/>
      <c r="R25" s="68"/>
      <c r="S25" s="5"/>
      <c r="T25" s="5"/>
      <c r="U25" s="5"/>
    </row>
    <row r="26" spans="2:21" ht="18.75" x14ac:dyDescent="0.25">
      <c r="B26" s="67"/>
      <c r="C26" s="67"/>
      <c r="D26" s="4"/>
      <c r="E26" s="4"/>
      <c r="F26" s="4"/>
      <c r="H26" s="67"/>
      <c r="I26" s="67"/>
      <c r="J26" s="4"/>
      <c r="K26" s="4"/>
      <c r="L26" s="4"/>
      <c r="Q26" s="67"/>
      <c r="R26" s="67"/>
      <c r="S26" s="4"/>
      <c r="T26" s="4"/>
      <c r="U26" s="4"/>
    </row>
    <row r="27" spans="2:21" x14ac:dyDescent="0.25">
      <c r="B27" s="68"/>
      <c r="C27" s="68"/>
      <c r="D27" s="6"/>
      <c r="E27" s="5"/>
      <c r="F27" s="5"/>
      <c r="H27" s="68"/>
      <c r="I27" s="68"/>
      <c r="J27" s="6"/>
      <c r="K27" s="5"/>
      <c r="L27" s="5"/>
      <c r="Q27" s="68"/>
      <c r="R27" s="68"/>
      <c r="S27" s="6"/>
      <c r="T27" s="5"/>
      <c r="U27" s="5"/>
    </row>
    <row r="28" spans="2:21" ht="18.75" x14ac:dyDescent="0.25">
      <c r="B28" s="67"/>
      <c r="C28" s="67"/>
      <c r="D28" s="4"/>
      <c r="E28" s="4"/>
      <c r="F28" s="4"/>
      <c r="H28" s="67"/>
      <c r="I28" s="67"/>
      <c r="J28" s="4"/>
      <c r="K28" s="4"/>
      <c r="L28" s="4"/>
      <c r="Q28" s="67"/>
      <c r="R28" s="67"/>
      <c r="S28" s="4"/>
      <c r="T28" s="4"/>
      <c r="U28" s="4"/>
    </row>
    <row r="29" spans="2:21" x14ac:dyDescent="0.25">
      <c r="B29" s="68"/>
      <c r="C29" s="68"/>
      <c r="D29" s="6"/>
      <c r="E29" s="5"/>
      <c r="F29" s="5"/>
      <c r="H29" s="68"/>
      <c r="I29" s="68"/>
      <c r="J29" s="6"/>
      <c r="K29" s="5"/>
      <c r="L29" s="5"/>
      <c r="Q29" s="68"/>
      <c r="R29" s="68"/>
      <c r="S29" s="6"/>
      <c r="T29" s="5"/>
      <c r="U29" s="5"/>
    </row>
    <row r="30" spans="2:21" ht="18.75" x14ac:dyDescent="0.25">
      <c r="B30" s="67"/>
      <c r="C30" s="67"/>
      <c r="D30" s="4"/>
      <c r="E30" s="4"/>
      <c r="F30" s="4"/>
      <c r="H30" s="67"/>
      <c r="I30" s="67"/>
      <c r="J30" s="4"/>
      <c r="K30" s="4"/>
      <c r="L30" s="4"/>
      <c r="Q30" s="67"/>
      <c r="R30" s="67"/>
      <c r="S30" s="4"/>
      <c r="T30" s="4"/>
      <c r="U30" s="4"/>
    </row>
    <row r="31" spans="2:21" x14ac:dyDescent="0.25">
      <c r="B31" s="68"/>
      <c r="C31" s="68"/>
      <c r="D31" s="6"/>
      <c r="E31" s="5"/>
      <c r="F31" s="5"/>
      <c r="H31" s="68"/>
      <c r="I31" s="68"/>
      <c r="J31" s="6"/>
      <c r="K31" s="5"/>
      <c r="L31" s="5"/>
      <c r="Q31" s="68"/>
      <c r="R31" s="68"/>
      <c r="S31" s="6"/>
      <c r="T31" s="5"/>
      <c r="U31" s="5"/>
    </row>
    <row r="32" spans="2:21" ht="18.75" x14ac:dyDescent="0.25">
      <c r="B32" s="67"/>
      <c r="C32" s="67"/>
      <c r="D32" s="4"/>
      <c r="E32" s="4"/>
      <c r="F32" s="4"/>
      <c r="H32" s="67"/>
      <c r="I32" s="67"/>
      <c r="J32" s="4"/>
      <c r="K32" s="4"/>
      <c r="L32" s="4"/>
      <c r="Q32" s="67"/>
      <c r="R32" s="67"/>
      <c r="S32" s="4"/>
      <c r="T32" s="4"/>
      <c r="U32" s="4"/>
    </row>
    <row r="33" spans="2:21" x14ac:dyDescent="0.25">
      <c r="B33" s="68"/>
      <c r="C33" s="68"/>
      <c r="D33" s="6"/>
      <c r="E33" s="6"/>
      <c r="F33" s="6"/>
      <c r="H33" s="68"/>
      <c r="I33" s="68"/>
      <c r="J33" s="6"/>
      <c r="K33" s="6"/>
      <c r="L33" s="6"/>
      <c r="Q33" s="68"/>
      <c r="R33" s="68"/>
      <c r="S33" s="6"/>
      <c r="T33" s="6"/>
      <c r="U33" s="6"/>
    </row>
    <row r="34" spans="2:21" ht="18.75" x14ac:dyDescent="0.25">
      <c r="B34" s="67"/>
      <c r="C34" s="67"/>
      <c r="D34" s="4"/>
      <c r="E34" s="4"/>
      <c r="F34" s="4"/>
      <c r="H34" s="67"/>
      <c r="I34" s="67"/>
      <c r="J34" s="4"/>
      <c r="K34" s="4"/>
      <c r="L34" s="4"/>
      <c r="Q34" s="67"/>
      <c r="R34" s="67"/>
      <c r="S34" s="4"/>
      <c r="T34" s="4"/>
      <c r="U34" s="4"/>
    </row>
    <row r="35" spans="2:21" x14ac:dyDescent="0.25">
      <c r="B35" s="68"/>
      <c r="C35" s="68"/>
      <c r="D35" s="6"/>
      <c r="E35" s="6"/>
      <c r="F35" s="6"/>
      <c r="H35" s="68"/>
      <c r="I35" s="68"/>
      <c r="J35" s="6"/>
      <c r="K35" s="6"/>
      <c r="L35" s="6"/>
      <c r="Q35" s="68"/>
      <c r="R35" s="68"/>
      <c r="S35" s="6"/>
      <c r="T35" s="6"/>
      <c r="U35" s="6"/>
    </row>
    <row r="36" spans="2:21" ht="18.75" x14ac:dyDescent="0.25">
      <c r="B36" s="67"/>
      <c r="C36" s="67"/>
      <c r="D36" s="4"/>
      <c r="E36" s="4"/>
      <c r="F36" s="4"/>
      <c r="H36" s="67"/>
      <c r="I36" s="67"/>
      <c r="J36" s="4"/>
      <c r="K36" s="4"/>
      <c r="L36" s="4"/>
      <c r="Q36" s="67"/>
      <c r="R36" s="67"/>
      <c r="S36" s="4"/>
      <c r="T36" s="4"/>
      <c r="U36" s="4"/>
    </row>
    <row r="37" spans="2:21" x14ac:dyDescent="0.25">
      <c r="B37" s="68"/>
      <c r="C37" s="68"/>
      <c r="D37" s="6"/>
      <c r="E37" s="6"/>
      <c r="F37" s="6"/>
      <c r="H37" s="68"/>
      <c r="I37" s="68"/>
      <c r="J37" s="6"/>
      <c r="K37" s="6"/>
      <c r="L37" s="6"/>
      <c r="Q37" s="68"/>
      <c r="R37" s="68"/>
      <c r="S37" s="6"/>
      <c r="T37" s="6"/>
      <c r="U37" s="6"/>
    </row>
    <row r="38" spans="2:21" ht="18.75" x14ac:dyDescent="0.25">
      <c r="B38" s="67"/>
      <c r="C38" s="67"/>
      <c r="D38" s="4"/>
      <c r="E38" s="4"/>
      <c r="F38" s="4"/>
      <c r="H38" s="67"/>
      <c r="I38" s="67"/>
      <c r="J38" s="4"/>
      <c r="K38" s="4"/>
      <c r="L38" s="4"/>
      <c r="Q38" s="67"/>
      <c r="R38" s="67"/>
      <c r="S38" s="4"/>
      <c r="T38" s="4"/>
      <c r="U38" s="4"/>
    </row>
    <row r="39" spans="2:21" x14ac:dyDescent="0.25">
      <c r="B39" s="68"/>
      <c r="C39" s="68"/>
      <c r="D39" s="6"/>
      <c r="E39" s="6"/>
      <c r="F39" s="6"/>
      <c r="H39" s="68"/>
      <c r="I39" s="68"/>
      <c r="J39" s="6"/>
      <c r="K39" s="6"/>
      <c r="L39" s="6"/>
      <c r="Q39" s="68"/>
      <c r="R39" s="68"/>
      <c r="S39" s="6"/>
      <c r="T39" s="6"/>
      <c r="U39" s="6"/>
    </row>
    <row r="40" spans="2:21" x14ac:dyDescent="0.25">
      <c r="B40" s="91" t="s">
        <v>160</v>
      </c>
      <c r="C40" s="16"/>
      <c r="D40" s="91">
        <f>SUM(D4:D27)</f>
        <v>0</v>
      </c>
      <c r="E40" s="91">
        <f>SUM(E4+E6+E8+E10+E12+E14+E16)</f>
        <v>3500</v>
      </c>
      <c r="F40" s="91">
        <f>SUM(F4:F27)</f>
        <v>14000</v>
      </c>
      <c r="H40" s="91" t="s">
        <v>160</v>
      </c>
      <c r="I40" s="16"/>
      <c r="J40" s="91">
        <f>SUM(J4:J27)</f>
        <v>0</v>
      </c>
      <c r="K40" s="91">
        <f>SUM(K4+K6+K8+K10+K12+K14+K16+K18+K20+K22)</f>
        <v>5000</v>
      </c>
      <c r="L40" s="91">
        <f>SUM(L4:L27)</f>
        <v>20000</v>
      </c>
      <c r="Q40" s="91" t="s">
        <v>160</v>
      </c>
      <c r="R40" s="16"/>
      <c r="S40" s="91">
        <f>SUM(S4:S27)</f>
        <v>0</v>
      </c>
      <c r="T40" s="91">
        <f>SUM(T4+T6+T8+T10+T12+T14+T16+T18+T20+T22)</f>
        <v>5000</v>
      </c>
      <c r="U40" s="91">
        <f>SUM(U4:U27)</f>
        <v>20000</v>
      </c>
    </row>
    <row r="41" spans="2:21" x14ac:dyDescent="0.25">
      <c r="B41" s="92"/>
      <c r="C41" s="17"/>
      <c r="D41" s="92"/>
      <c r="E41" s="92"/>
      <c r="F41" s="92"/>
      <c r="H41" s="92"/>
      <c r="I41" s="17"/>
      <c r="J41" s="92"/>
      <c r="K41" s="92"/>
      <c r="L41" s="92"/>
      <c r="Q41" s="92"/>
      <c r="R41" s="17"/>
      <c r="S41" s="92"/>
      <c r="T41" s="92"/>
      <c r="U41" s="92"/>
    </row>
  </sheetData>
  <mergeCells count="123">
    <mergeCell ref="Q30:Q31"/>
    <mergeCell ref="S40:S41"/>
    <mergeCell ref="T40:T41"/>
    <mergeCell ref="U40:U41"/>
    <mergeCell ref="Q32:Q33"/>
    <mergeCell ref="Q34:Q35"/>
    <mergeCell ref="Q36:Q37"/>
    <mergeCell ref="Q38:Q39"/>
    <mergeCell ref="Q40:Q41"/>
    <mergeCell ref="R32:R33"/>
    <mergeCell ref="R34:R35"/>
    <mergeCell ref="R36:R37"/>
    <mergeCell ref="R38:R39"/>
    <mergeCell ref="Q12:Q13"/>
    <mergeCell ref="Q14:Q15"/>
    <mergeCell ref="Q16:Q17"/>
    <mergeCell ref="Q18:Q19"/>
    <mergeCell ref="Q20:Q21"/>
    <mergeCell ref="Q22:Q23"/>
    <mergeCell ref="Q24:Q25"/>
    <mergeCell ref="Q26:Q27"/>
    <mergeCell ref="Q28:Q29"/>
    <mergeCell ref="L40:L41"/>
    <mergeCell ref="H24:H25"/>
    <mergeCell ref="H26:H27"/>
    <mergeCell ref="H28:H29"/>
    <mergeCell ref="H30:H31"/>
    <mergeCell ref="H32:H33"/>
    <mergeCell ref="H34:H35"/>
    <mergeCell ref="H36:H37"/>
    <mergeCell ref="H38:H39"/>
    <mergeCell ref="H40:H41"/>
    <mergeCell ref="J40:J41"/>
    <mergeCell ref="K40:K41"/>
    <mergeCell ref="I32:I33"/>
    <mergeCell ref="I34:I35"/>
    <mergeCell ref="I36:I37"/>
    <mergeCell ref="I38:I39"/>
    <mergeCell ref="I24:I25"/>
    <mergeCell ref="I26:I27"/>
    <mergeCell ref="I28:I29"/>
    <mergeCell ref="I30:I31"/>
    <mergeCell ref="B22:B23"/>
    <mergeCell ref="H4:H5"/>
    <mergeCell ref="H6:H7"/>
    <mergeCell ref="H8:H9"/>
    <mergeCell ref="H10:H11"/>
    <mergeCell ref="H2:L2"/>
    <mergeCell ref="H22:H23"/>
    <mergeCell ref="B38:B39"/>
    <mergeCell ref="B40:B41"/>
    <mergeCell ref="D40:D41"/>
    <mergeCell ref="E40:E41"/>
    <mergeCell ref="F40:F41"/>
    <mergeCell ref="B26:B27"/>
    <mergeCell ref="B28:B29"/>
    <mergeCell ref="B30:B31"/>
    <mergeCell ref="B32:B33"/>
    <mergeCell ref="B34:B35"/>
    <mergeCell ref="B36:B37"/>
    <mergeCell ref="B24:B25"/>
    <mergeCell ref="C22:C23"/>
    <mergeCell ref="C24:C25"/>
    <mergeCell ref="C26:C27"/>
    <mergeCell ref="H12:H13"/>
    <mergeCell ref="H14:H15"/>
    <mergeCell ref="B12:B13"/>
    <mergeCell ref="B4:B5"/>
    <mergeCell ref="B6:B7"/>
    <mergeCell ref="B8:B9"/>
    <mergeCell ref="B10:B11"/>
    <mergeCell ref="B14:B15"/>
    <mergeCell ref="B16:B17"/>
    <mergeCell ref="B18:B19"/>
    <mergeCell ref="B20:B21"/>
    <mergeCell ref="B2:F2"/>
    <mergeCell ref="R4:R5"/>
    <mergeCell ref="R6:R7"/>
    <mergeCell ref="R8:R9"/>
    <mergeCell ref="R10:R11"/>
    <mergeCell ref="I4:I5"/>
    <mergeCell ref="I6:I7"/>
    <mergeCell ref="I8:I9"/>
    <mergeCell ref="I10:I11"/>
    <mergeCell ref="C4:C5"/>
    <mergeCell ref="C6:C7"/>
    <mergeCell ref="C8:C9"/>
    <mergeCell ref="C10:C11"/>
    <mergeCell ref="Q4:Q5"/>
    <mergeCell ref="Q6:Q7"/>
    <mergeCell ref="Q8:Q9"/>
    <mergeCell ref="Q10:Q11"/>
    <mergeCell ref="Q2:U2"/>
    <mergeCell ref="R22:R23"/>
    <mergeCell ref="R24:R25"/>
    <mergeCell ref="R26:R27"/>
    <mergeCell ref="R28:R29"/>
    <mergeCell ref="R30:R31"/>
    <mergeCell ref="R12:R13"/>
    <mergeCell ref="R14:R15"/>
    <mergeCell ref="R16:R17"/>
    <mergeCell ref="R18:R19"/>
    <mergeCell ref="R20:R21"/>
    <mergeCell ref="I12:I13"/>
    <mergeCell ref="I14:I15"/>
    <mergeCell ref="I16:I17"/>
    <mergeCell ref="I18:I19"/>
    <mergeCell ref="I20:I21"/>
    <mergeCell ref="C38:C39"/>
    <mergeCell ref="C28:C29"/>
    <mergeCell ref="C30:C31"/>
    <mergeCell ref="C32:C33"/>
    <mergeCell ref="C34:C35"/>
    <mergeCell ref="C36:C37"/>
    <mergeCell ref="C12:C13"/>
    <mergeCell ref="C14:C15"/>
    <mergeCell ref="C16:C17"/>
    <mergeCell ref="C18:C19"/>
    <mergeCell ref="C20:C21"/>
    <mergeCell ref="H16:H17"/>
    <mergeCell ref="H18:H19"/>
    <mergeCell ref="H20:H21"/>
    <mergeCell ref="I22:I23"/>
  </mergeCells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A034-95E3-4796-82B3-311F675730E0}">
  <dimension ref="B3:H59"/>
  <sheetViews>
    <sheetView rightToLeft="1" tabSelected="1" workbookViewId="0">
      <selection activeCell="M12" sqref="M12"/>
    </sheetView>
  </sheetViews>
  <sheetFormatPr baseColWidth="10" defaultRowHeight="15" x14ac:dyDescent="0.25"/>
  <cols>
    <col min="2" max="2" width="16.7109375" bestFit="1" customWidth="1"/>
    <col min="3" max="3" width="23.85546875" customWidth="1"/>
    <col min="4" max="4" width="24.42578125" bestFit="1" customWidth="1"/>
    <col min="5" max="5" width="12.7109375" customWidth="1"/>
    <col min="6" max="6" width="15" customWidth="1"/>
    <col min="7" max="7" width="32.140625" bestFit="1" customWidth="1"/>
    <col min="8" max="8" width="14.85546875" customWidth="1"/>
  </cols>
  <sheetData>
    <row r="3" spans="2:8" x14ac:dyDescent="0.25">
      <c r="B3" s="181" t="s">
        <v>598</v>
      </c>
      <c r="C3" s="182"/>
      <c r="D3" s="182"/>
      <c r="E3" s="182"/>
      <c r="F3" s="182"/>
      <c r="G3" s="183"/>
    </row>
    <row r="4" spans="2:8" x14ac:dyDescent="0.25">
      <c r="B4" s="184"/>
      <c r="C4" s="185"/>
      <c r="D4" s="185"/>
      <c r="E4" s="185"/>
      <c r="F4" s="185"/>
      <c r="G4" s="186"/>
    </row>
    <row r="5" spans="2:8" ht="19.5" thickBot="1" x14ac:dyDescent="0.3">
      <c r="B5" s="40" t="s">
        <v>230</v>
      </c>
      <c r="C5" s="41" t="s">
        <v>2</v>
      </c>
      <c r="D5" s="42" t="s">
        <v>374</v>
      </c>
      <c r="E5" s="43" t="s">
        <v>375</v>
      </c>
      <c r="F5" s="44" t="s">
        <v>376</v>
      </c>
      <c r="G5" s="45" t="s">
        <v>377</v>
      </c>
    </row>
    <row r="6" spans="2:8" ht="18.75" x14ac:dyDescent="0.25">
      <c r="B6" s="187" t="s">
        <v>380</v>
      </c>
      <c r="C6" s="30">
        <v>250</v>
      </c>
      <c r="D6" s="30">
        <v>1500</v>
      </c>
      <c r="E6" s="188" t="s">
        <v>378</v>
      </c>
      <c r="F6" s="143" t="s">
        <v>382</v>
      </c>
      <c r="G6" s="177" t="s">
        <v>383</v>
      </c>
      <c r="H6" s="175" t="s">
        <v>529</v>
      </c>
    </row>
    <row r="7" spans="2:8" x14ac:dyDescent="0.25">
      <c r="B7" s="187"/>
      <c r="C7" s="35" t="s">
        <v>381</v>
      </c>
      <c r="D7" s="35" t="s">
        <v>381</v>
      </c>
      <c r="E7" s="174"/>
      <c r="F7" s="144"/>
      <c r="G7" s="178"/>
      <c r="H7" s="176"/>
    </row>
    <row r="8" spans="2:8" ht="15" customHeight="1" x14ac:dyDescent="0.25">
      <c r="B8" s="67" t="s">
        <v>39</v>
      </c>
      <c r="C8" s="2">
        <v>250</v>
      </c>
      <c r="D8" s="2">
        <v>2500</v>
      </c>
      <c r="E8" s="189" t="s">
        <v>60</v>
      </c>
      <c r="F8" s="67" t="s">
        <v>461</v>
      </c>
      <c r="G8" s="67" t="s">
        <v>41</v>
      </c>
      <c r="H8" s="175" t="s">
        <v>528</v>
      </c>
    </row>
    <row r="9" spans="2:8" ht="15" customHeight="1" x14ac:dyDescent="0.25">
      <c r="B9" s="68"/>
      <c r="C9" s="2" t="s">
        <v>40</v>
      </c>
      <c r="D9" s="2" t="s">
        <v>40</v>
      </c>
      <c r="E9" s="68"/>
      <c r="F9" s="68"/>
      <c r="G9" s="68"/>
      <c r="H9" s="176"/>
    </row>
    <row r="10" spans="2:8" x14ac:dyDescent="0.25">
      <c r="B10" s="83" t="s">
        <v>237</v>
      </c>
      <c r="C10" s="2">
        <v>250</v>
      </c>
      <c r="D10" s="2"/>
      <c r="E10" s="174" t="s">
        <v>378</v>
      </c>
      <c r="F10" s="143" t="s">
        <v>531</v>
      </c>
      <c r="G10" s="67" t="s">
        <v>238</v>
      </c>
      <c r="H10" s="175" t="s">
        <v>528</v>
      </c>
    </row>
    <row r="11" spans="2:8" ht="15" customHeight="1" x14ac:dyDescent="0.25">
      <c r="B11" s="84"/>
      <c r="C11" s="2" t="s">
        <v>239</v>
      </c>
      <c r="D11" s="2"/>
      <c r="E11" s="174"/>
      <c r="F11" s="144"/>
      <c r="G11" s="68"/>
      <c r="H11" s="176"/>
    </row>
    <row r="12" spans="2:8" ht="15" customHeight="1" x14ac:dyDescent="0.25">
      <c r="B12" s="83" t="s">
        <v>244</v>
      </c>
      <c r="C12" s="2"/>
      <c r="D12" s="2">
        <v>1500</v>
      </c>
      <c r="E12" s="174" t="s">
        <v>378</v>
      </c>
      <c r="F12" s="143" t="s">
        <v>531</v>
      </c>
      <c r="G12" s="67" t="s">
        <v>196</v>
      </c>
      <c r="H12" s="175" t="s">
        <v>528</v>
      </c>
    </row>
    <row r="13" spans="2:8" ht="15" customHeight="1" x14ac:dyDescent="0.25">
      <c r="B13" s="84"/>
      <c r="C13" s="2"/>
      <c r="D13" s="2" t="s">
        <v>243</v>
      </c>
      <c r="E13" s="174"/>
      <c r="F13" s="144"/>
      <c r="G13" s="68"/>
      <c r="H13" s="176"/>
    </row>
    <row r="14" spans="2:8" ht="15" customHeight="1" x14ac:dyDescent="0.25">
      <c r="B14" s="83" t="s">
        <v>255</v>
      </c>
      <c r="C14" s="39" t="s">
        <v>279</v>
      </c>
      <c r="D14" s="2"/>
      <c r="E14" s="174" t="s">
        <v>378</v>
      </c>
      <c r="F14" s="143" t="s">
        <v>531</v>
      </c>
      <c r="G14" s="67"/>
      <c r="H14" s="175" t="s">
        <v>528</v>
      </c>
    </row>
    <row r="15" spans="2:8" ht="15" customHeight="1" x14ac:dyDescent="0.25">
      <c r="B15" s="84"/>
      <c r="C15" s="39" t="s">
        <v>278</v>
      </c>
      <c r="D15" s="2"/>
      <c r="E15" s="174"/>
      <c r="F15" s="144"/>
      <c r="G15" s="68"/>
      <c r="H15" s="176"/>
    </row>
    <row r="16" spans="2:8" ht="15" customHeight="1" x14ac:dyDescent="0.25">
      <c r="B16" s="83" t="s">
        <v>280</v>
      </c>
      <c r="C16" s="2">
        <v>250</v>
      </c>
      <c r="D16" s="2">
        <v>1500</v>
      </c>
      <c r="E16" s="174" t="s">
        <v>378</v>
      </c>
      <c r="F16" s="143" t="s">
        <v>531</v>
      </c>
      <c r="G16" s="67" t="s">
        <v>282</v>
      </c>
      <c r="H16" s="175" t="s">
        <v>529</v>
      </c>
    </row>
    <row r="17" spans="2:8" ht="15" customHeight="1" x14ac:dyDescent="0.25">
      <c r="B17" s="84"/>
      <c r="C17" s="2" t="s">
        <v>281</v>
      </c>
      <c r="D17" s="2" t="s">
        <v>281</v>
      </c>
      <c r="E17" s="174"/>
      <c r="F17" s="144"/>
      <c r="G17" s="68"/>
      <c r="H17" s="176"/>
    </row>
    <row r="18" spans="2:8" ht="15" customHeight="1" x14ac:dyDescent="0.25">
      <c r="B18" s="83" t="s">
        <v>283</v>
      </c>
      <c r="C18" s="2">
        <v>250</v>
      </c>
      <c r="D18" s="2"/>
      <c r="E18" s="174" t="s">
        <v>378</v>
      </c>
      <c r="F18" s="143" t="s">
        <v>531</v>
      </c>
      <c r="G18" s="67" t="s">
        <v>284</v>
      </c>
      <c r="H18" s="175" t="s">
        <v>528</v>
      </c>
    </row>
    <row r="19" spans="2:8" ht="15" customHeight="1" x14ac:dyDescent="0.25">
      <c r="B19" s="84"/>
      <c r="C19" s="2" t="s">
        <v>277</v>
      </c>
      <c r="D19" s="2"/>
      <c r="E19" s="174"/>
      <c r="F19" s="144"/>
      <c r="G19" s="68"/>
      <c r="H19" s="176"/>
    </row>
    <row r="20" spans="2:8" ht="15" customHeight="1" x14ac:dyDescent="0.25">
      <c r="B20" s="83" t="s">
        <v>384</v>
      </c>
      <c r="C20" s="2">
        <v>250</v>
      </c>
      <c r="D20" s="2"/>
      <c r="E20" s="174" t="s">
        <v>378</v>
      </c>
      <c r="F20" s="143" t="s">
        <v>531</v>
      </c>
      <c r="G20" s="67" t="s">
        <v>385</v>
      </c>
      <c r="H20" s="175" t="s">
        <v>528</v>
      </c>
    </row>
    <row r="21" spans="2:8" ht="15" customHeight="1" x14ac:dyDescent="0.25">
      <c r="B21" s="84"/>
      <c r="C21" s="2" t="s">
        <v>386</v>
      </c>
      <c r="D21" s="2"/>
      <c r="E21" s="174"/>
      <c r="F21" s="144"/>
      <c r="G21" s="68"/>
      <c r="H21" s="176"/>
    </row>
    <row r="22" spans="2:8" ht="15" customHeight="1" x14ac:dyDescent="0.25">
      <c r="B22" s="83" t="s">
        <v>476</v>
      </c>
      <c r="C22" s="52">
        <v>250</v>
      </c>
      <c r="D22" s="2">
        <v>1500</v>
      </c>
      <c r="E22" s="174" t="s">
        <v>378</v>
      </c>
      <c r="F22" s="143" t="s">
        <v>531</v>
      </c>
      <c r="G22" s="67"/>
      <c r="H22" s="175" t="s">
        <v>529</v>
      </c>
    </row>
    <row r="23" spans="2:8" ht="15" customHeight="1" x14ac:dyDescent="0.25">
      <c r="B23" s="84"/>
      <c r="C23" s="52" t="s">
        <v>477</v>
      </c>
      <c r="D23" s="2" t="s">
        <v>477</v>
      </c>
      <c r="E23" s="174"/>
      <c r="F23" s="144"/>
      <c r="G23" s="68"/>
      <c r="H23" s="176"/>
    </row>
    <row r="24" spans="2:8" ht="15" customHeight="1" x14ac:dyDescent="0.25">
      <c r="B24" s="83" t="s">
        <v>471</v>
      </c>
      <c r="C24" s="2">
        <v>250</v>
      </c>
      <c r="D24" s="2">
        <v>1500</v>
      </c>
      <c r="E24" s="174" t="s">
        <v>378</v>
      </c>
      <c r="F24" s="143" t="s">
        <v>531</v>
      </c>
      <c r="G24" s="177"/>
      <c r="H24" s="179" t="s">
        <v>530</v>
      </c>
    </row>
    <row r="25" spans="2:8" ht="15" customHeight="1" x14ac:dyDescent="0.25">
      <c r="B25" s="84"/>
      <c r="C25" s="2" t="s">
        <v>472</v>
      </c>
      <c r="D25" s="2" t="s">
        <v>472</v>
      </c>
      <c r="E25" s="174"/>
      <c r="F25" s="144"/>
      <c r="G25" s="178"/>
      <c r="H25" s="180"/>
    </row>
    <row r="26" spans="2:8" ht="18.75" x14ac:dyDescent="0.25">
      <c r="B26" s="187" t="s">
        <v>280</v>
      </c>
      <c r="C26" s="2">
        <v>250</v>
      </c>
      <c r="D26" s="56">
        <v>1500</v>
      </c>
      <c r="E26" s="174" t="s">
        <v>378</v>
      </c>
      <c r="F26" s="143" t="s">
        <v>556</v>
      </c>
      <c r="G26" s="177" t="s">
        <v>557</v>
      </c>
      <c r="H26" s="175" t="s">
        <v>529</v>
      </c>
    </row>
    <row r="27" spans="2:8" ht="15" customHeight="1" x14ac:dyDescent="0.25">
      <c r="B27" s="187"/>
      <c r="C27" s="2" t="s">
        <v>555</v>
      </c>
      <c r="D27" s="2" t="s">
        <v>555</v>
      </c>
      <c r="E27" s="174"/>
      <c r="F27" s="144"/>
      <c r="G27" s="178"/>
      <c r="H27" s="176"/>
    </row>
    <row r="28" spans="2:8" ht="18.75" x14ac:dyDescent="0.25">
      <c r="B28" s="187" t="s">
        <v>558</v>
      </c>
      <c r="C28" s="2">
        <v>250</v>
      </c>
      <c r="D28" s="56">
        <v>1500</v>
      </c>
      <c r="E28" s="174" t="s">
        <v>378</v>
      </c>
      <c r="F28" s="143" t="s">
        <v>556</v>
      </c>
      <c r="G28" s="177"/>
      <c r="H28" s="179" t="s">
        <v>530</v>
      </c>
    </row>
    <row r="29" spans="2:8" ht="15" customHeight="1" x14ac:dyDescent="0.25">
      <c r="B29" s="187"/>
      <c r="C29" s="2" t="s">
        <v>559</v>
      </c>
      <c r="D29" s="2" t="s">
        <v>559</v>
      </c>
      <c r="E29" s="174"/>
      <c r="F29" s="144"/>
      <c r="G29" s="178"/>
      <c r="H29" s="180"/>
    </row>
    <row r="30" spans="2:8" ht="18.75" x14ac:dyDescent="0.25">
      <c r="B30" s="187" t="s">
        <v>560</v>
      </c>
      <c r="C30" s="2">
        <v>250</v>
      </c>
      <c r="D30" s="56">
        <v>1500</v>
      </c>
      <c r="E30" s="174" t="s">
        <v>378</v>
      </c>
      <c r="F30" s="143" t="s">
        <v>556</v>
      </c>
      <c r="G30" s="177"/>
      <c r="H30" s="175" t="s">
        <v>529</v>
      </c>
    </row>
    <row r="31" spans="2:8" ht="15" customHeight="1" x14ac:dyDescent="0.25">
      <c r="B31" s="187"/>
      <c r="C31" s="2" t="s">
        <v>561</v>
      </c>
      <c r="D31" s="2" t="s">
        <v>561</v>
      </c>
      <c r="E31" s="174"/>
      <c r="F31" s="144"/>
      <c r="G31" s="178"/>
      <c r="H31" s="176"/>
    </row>
    <row r="32" spans="2:8" ht="18.75" x14ac:dyDescent="0.25">
      <c r="B32" s="187" t="s">
        <v>562</v>
      </c>
      <c r="C32" s="2">
        <v>250</v>
      </c>
      <c r="D32" s="56">
        <v>2000</v>
      </c>
      <c r="E32" s="174" t="s">
        <v>415</v>
      </c>
      <c r="F32" s="143" t="s">
        <v>563</v>
      </c>
      <c r="G32" s="177" t="s">
        <v>564</v>
      </c>
      <c r="H32" s="190"/>
    </row>
    <row r="33" spans="2:8" x14ac:dyDescent="0.25">
      <c r="B33" s="187"/>
      <c r="C33" s="2" t="s">
        <v>281</v>
      </c>
      <c r="D33" s="2" t="s">
        <v>281</v>
      </c>
      <c r="E33" s="174"/>
      <c r="F33" s="144"/>
      <c r="G33" s="178"/>
      <c r="H33" s="191"/>
    </row>
    <row r="34" spans="2:8" ht="18.75" x14ac:dyDescent="0.25">
      <c r="B34" s="187" t="s">
        <v>562</v>
      </c>
      <c r="C34" s="2">
        <v>250</v>
      </c>
      <c r="D34" s="56">
        <v>2000</v>
      </c>
      <c r="E34" s="174" t="s">
        <v>415</v>
      </c>
      <c r="F34" s="143" t="s">
        <v>565</v>
      </c>
      <c r="G34" s="177" t="s">
        <v>564</v>
      </c>
      <c r="H34" s="190"/>
    </row>
    <row r="35" spans="2:8" ht="15" customHeight="1" x14ac:dyDescent="0.25">
      <c r="B35" s="187"/>
      <c r="C35" s="2" t="s">
        <v>281</v>
      </c>
      <c r="D35" s="2" t="s">
        <v>281</v>
      </c>
      <c r="E35" s="174"/>
      <c r="F35" s="144"/>
      <c r="G35" s="178"/>
      <c r="H35" s="191"/>
    </row>
    <row r="36" spans="2:8" ht="18.75" x14ac:dyDescent="0.25">
      <c r="B36" s="187" t="s">
        <v>566</v>
      </c>
      <c r="C36" s="2">
        <v>250</v>
      </c>
      <c r="D36" s="56">
        <v>2000</v>
      </c>
      <c r="E36" s="174"/>
      <c r="F36" s="143" t="s">
        <v>568</v>
      </c>
      <c r="G36" s="177" t="s">
        <v>569</v>
      </c>
      <c r="H36" s="190"/>
    </row>
    <row r="37" spans="2:8" x14ac:dyDescent="0.25">
      <c r="B37" s="187"/>
      <c r="C37" s="2" t="s">
        <v>567</v>
      </c>
      <c r="D37" s="2" t="s">
        <v>567</v>
      </c>
      <c r="E37" s="174"/>
      <c r="F37" s="144"/>
      <c r="G37" s="178"/>
      <c r="H37" s="191"/>
    </row>
    <row r="38" spans="2:8" ht="18.75" x14ac:dyDescent="0.25">
      <c r="B38" s="187" t="s">
        <v>570</v>
      </c>
      <c r="C38" s="2">
        <v>250</v>
      </c>
      <c r="D38" s="56">
        <v>2000</v>
      </c>
      <c r="E38" s="174"/>
      <c r="F38" s="143" t="s">
        <v>572</v>
      </c>
      <c r="G38" s="177" t="s">
        <v>573</v>
      </c>
      <c r="H38" s="190"/>
    </row>
    <row r="39" spans="2:8" x14ac:dyDescent="0.25">
      <c r="B39" s="187"/>
      <c r="C39" s="2" t="s">
        <v>571</v>
      </c>
      <c r="D39" s="2" t="s">
        <v>571</v>
      </c>
      <c r="E39" s="174"/>
      <c r="F39" s="144"/>
      <c r="G39" s="178"/>
      <c r="H39" s="191"/>
    </row>
    <row r="40" spans="2:8" ht="18.75" x14ac:dyDescent="0.25">
      <c r="B40" s="187" t="s">
        <v>570</v>
      </c>
      <c r="C40" s="2">
        <v>250</v>
      </c>
      <c r="D40" s="56">
        <v>2000</v>
      </c>
      <c r="E40" s="174"/>
      <c r="F40" s="143" t="s">
        <v>574</v>
      </c>
      <c r="G40" s="177" t="s">
        <v>573</v>
      </c>
      <c r="H40" s="190"/>
    </row>
    <row r="41" spans="2:8" ht="15" customHeight="1" x14ac:dyDescent="0.25">
      <c r="B41" s="187"/>
      <c r="C41" s="2" t="s">
        <v>571</v>
      </c>
      <c r="D41" s="2" t="s">
        <v>571</v>
      </c>
      <c r="E41" s="174"/>
      <c r="F41" s="144"/>
      <c r="G41" s="178"/>
      <c r="H41" s="191"/>
    </row>
    <row r="42" spans="2:8" ht="18.75" x14ac:dyDescent="0.25">
      <c r="B42" s="187" t="s">
        <v>471</v>
      </c>
      <c r="C42" s="56">
        <v>250</v>
      </c>
      <c r="D42" s="56">
        <v>1500</v>
      </c>
      <c r="E42" s="174" t="s">
        <v>578</v>
      </c>
      <c r="F42" s="143" t="s">
        <v>576</v>
      </c>
      <c r="G42" s="177"/>
      <c r="H42" s="179" t="s">
        <v>530</v>
      </c>
    </row>
    <row r="43" spans="2:8" ht="15" customHeight="1" x14ac:dyDescent="0.25">
      <c r="B43" s="187"/>
      <c r="C43" s="2" t="s">
        <v>575</v>
      </c>
      <c r="D43" s="2" t="s">
        <v>575</v>
      </c>
      <c r="E43" s="174"/>
      <c r="F43" s="144"/>
      <c r="G43" s="178"/>
      <c r="H43" s="180"/>
    </row>
    <row r="44" spans="2:8" ht="18.75" x14ac:dyDescent="0.25">
      <c r="B44" s="187" t="s">
        <v>471</v>
      </c>
      <c r="C44" s="56">
        <v>250</v>
      </c>
      <c r="D44" s="56">
        <v>1500</v>
      </c>
      <c r="E44" s="174" t="s">
        <v>578</v>
      </c>
      <c r="F44" s="143" t="s">
        <v>577</v>
      </c>
      <c r="G44" s="177"/>
      <c r="H44" s="175" t="s">
        <v>529</v>
      </c>
    </row>
    <row r="45" spans="2:8" ht="15" customHeight="1" x14ac:dyDescent="0.25">
      <c r="B45" s="187"/>
      <c r="C45" s="2" t="s">
        <v>575</v>
      </c>
      <c r="D45" s="2" t="s">
        <v>575</v>
      </c>
      <c r="E45" s="174"/>
      <c r="F45" s="144"/>
      <c r="G45" s="178"/>
      <c r="H45" s="176"/>
    </row>
    <row r="46" spans="2:8" ht="18.75" x14ac:dyDescent="0.25">
      <c r="B46" s="187" t="s">
        <v>579</v>
      </c>
      <c r="C46" s="56">
        <v>250</v>
      </c>
      <c r="D46" s="56">
        <v>1500</v>
      </c>
      <c r="E46" s="174" t="s">
        <v>578</v>
      </c>
      <c r="F46" s="143" t="s">
        <v>576</v>
      </c>
      <c r="G46" s="177"/>
      <c r="H46" s="190"/>
    </row>
    <row r="47" spans="2:8" ht="15" customHeight="1" x14ac:dyDescent="0.25">
      <c r="B47" s="187"/>
      <c r="C47" s="2" t="s">
        <v>580</v>
      </c>
      <c r="D47" s="2" t="s">
        <v>580</v>
      </c>
      <c r="E47" s="174"/>
      <c r="F47" s="144"/>
      <c r="G47" s="178"/>
      <c r="H47" s="191"/>
    </row>
    <row r="48" spans="2:8" ht="18.75" x14ac:dyDescent="0.25">
      <c r="B48" s="187" t="s">
        <v>541</v>
      </c>
      <c r="C48" s="56">
        <v>250</v>
      </c>
      <c r="D48" s="56"/>
      <c r="E48" s="174" t="s">
        <v>415</v>
      </c>
      <c r="F48" s="143" t="s">
        <v>581</v>
      </c>
      <c r="G48" s="177" t="s">
        <v>582</v>
      </c>
      <c r="H48" s="190"/>
    </row>
    <row r="49" spans="2:8" x14ac:dyDescent="0.25">
      <c r="B49" s="187"/>
      <c r="C49" s="2" t="s">
        <v>585</v>
      </c>
      <c r="D49" s="35"/>
      <c r="E49" s="174"/>
      <c r="F49" s="144"/>
      <c r="G49" s="178"/>
      <c r="H49" s="191"/>
    </row>
    <row r="50" spans="2:8" ht="18.75" x14ac:dyDescent="0.25">
      <c r="B50" s="187" t="s">
        <v>583</v>
      </c>
      <c r="C50" s="56">
        <v>250</v>
      </c>
      <c r="D50" s="56"/>
      <c r="E50" s="174" t="s">
        <v>578</v>
      </c>
      <c r="F50" s="143" t="s">
        <v>576</v>
      </c>
      <c r="G50" s="177"/>
      <c r="H50" s="179" t="s">
        <v>530</v>
      </c>
    </row>
    <row r="51" spans="2:8" ht="15" customHeight="1" x14ac:dyDescent="0.25">
      <c r="B51" s="187"/>
      <c r="C51" s="2" t="s">
        <v>584</v>
      </c>
      <c r="D51" s="35"/>
      <c r="E51" s="174"/>
      <c r="F51" s="144"/>
      <c r="G51" s="178"/>
      <c r="H51" s="180"/>
    </row>
    <row r="52" spans="2:8" ht="18.75" x14ac:dyDescent="0.25">
      <c r="B52" s="187" t="s">
        <v>586</v>
      </c>
      <c r="C52" s="56">
        <v>250</v>
      </c>
      <c r="D52" s="56">
        <v>1500</v>
      </c>
      <c r="E52" s="174" t="s">
        <v>588</v>
      </c>
      <c r="F52" s="143" t="s">
        <v>576</v>
      </c>
      <c r="G52" s="177"/>
      <c r="H52" s="190" t="s">
        <v>590</v>
      </c>
    </row>
    <row r="53" spans="2:8" ht="15" customHeight="1" x14ac:dyDescent="0.25">
      <c r="B53" s="187"/>
      <c r="C53" s="2" t="s">
        <v>587</v>
      </c>
      <c r="D53" s="2" t="s">
        <v>587</v>
      </c>
      <c r="E53" s="174"/>
      <c r="F53" s="144"/>
      <c r="G53" s="178"/>
      <c r="H53" s="191"/>
    </row>
    <row r="54" spans="2:8" ht="18.75" x14ac:dyDescent="0.25">
      <c r="B54" s="187" t="s">
        <v>586</v>
      </c>
      <c r="C54" s="56">
        <v>250</v>
      </c>
      <c r="D54" s="56">
        <v>1500</v>
      </c>
      <c r="E54" s="174" t="s">
        <v>588</v>
      </c>
      <c r="F54" s="143" t="s">
        <v>589</v>
      </c>
      <c r="G54" s="177"/>
      <c r="H54" s="190"/>
    </row>
    <row r="55" spans="2:8" ht="15" customHeight="1" x14ac:dyDescent="0.25">
      <c r="B55" s="187"/>
      <c r="C55" s="2" t="s">
        <v>587</v>
      </c>
      <c r="D55" s="2" t="s">
        <v>587</v>
      </c>
      <c r="E55" s="174"/>
      <c r="F55" s="144"/>
      <c r="G55" s="178"/>
      <c r="H55" s="191"/>
    </row>
    <row r="56" spans="2:8" ht="18.75" x14ac:dyDescent="0.25">
      <c r="B56" s="187" t="s">
        <v>591</v>
      </c>
      <c r="C56" s="56">
        <v>250</v>
      </c>
      <c r="D56" s="56">
        <v>1500</v>
      </c>
      <c r="E56" s="174" t="s">
        <v>578</v>
      </c>
      <c r="F56" s="143" t="s">
        <v>576</v>
      </c>
      <c r="G56" s="177"/>
      <c r="H56" s="179" t="s">
        <v>530</v>
      </c>
    </row>
    <row r="57" spans="2:8" ht="15" customHeight="1" x14ac:dyDescent="0.25">
      <c r="B57" s="187"/>
      <c r="C57" s="2" t="s">
        <v>592</v>
      </c>
      <c r="D57" s="2" t="s">
        <v>592</v>
      </c>
      <c r="E57" s="174"/>
      <c r="F57" s="144"/>
      <c r="G57" s="178"/>
      <c r="H57" s="180"/>
    </row>
    <row r="58" spans="2:8" x14ac:dyDescent="0.25">
      <c r="B58" s="192" t="s">
        <v>596</v>
      </c>
      <c r="C58" s="192">
        <v>6000</v>
      </c>
      <c r="D58" s="192">
        <v>33500</v>
      </c>
      <c r="E58" s="192">
        <v>39500</v>
      </c>
    </row>
    <row r="59" spans="2:8" x14ac:dyDescent="0.25">
      <c r="B59" s="193"/>
      <c r="C59" s="193"/>
      <c r="D59" s="193"/>
      <c r="E59" s="193"/>
    </row>
  </sheetData>
  <mergeCells count="135">
    <mergeCell ref="B58:B59"/>
    <mergeCell ref="E58:E59"/>
    <mergeCell ref="C58:C59"/>
    <mergeCell ref="D58:D59"/>
    <mergeCell ref="B56:B57"/>
    <mergeCell ref="E56:E57"/>
    <mergeCell ref="F56:F57"/>
    <mergeCell ref="G56:G57"/>
    <mergeCell ref="H56:H57"/>
    <mergeCell ref="B54:B55"/>
    <mergeCell ref="E54:E55"/>
    <mergeCell ref="F54:F55"/>
    <mergeCell ref="G54:G55"/>
    <mergeCell ref="H54:H55"/>
    <mergeCell ref="B52:B53"/>
    <mergeCell ref="E52:E53"/>
    <mergeCell ref="F52:F53"/>
    <mergeCell ref="G52:G53"/>
    <mergeCell ref="H52:H53"/>
    <mergeCell ref="B50:B51"/>
    <mergeCell ref="E50:E51"/>
    <mergeCell ref="F50:F51"/>
    <mergeCell ref="G50:G51"/>
    <mergeCell ref="H50:H51"/>
    <mergeCell ref="B48:B49"/>
    <mergeCell ref="E48:E49"/>
    <mergeCell ref="F48:F49"/>
    <mergeCell ref="G48:G49"/>
    <mergeCell ref="H48:H49"/>
    <mergeCell ref="B46:B47"/>
    <mergeCell ref="E46:E47"/>
    <mergeCell ref="F46:F47"/>
    <mergeCell ref="G46:G47"/>
    <mergeCell ref="H46:H47"/>
    <mergeCell ref="B44:B45"/>
    <mergeCell ref="E44:E45"/>
    <mergeCell ref="F44:F45"/>
    <mergeCell ref="G44:G45"/>
    <mergeCell ref="H44:H45"/>
    <mergeCell ref="B42:B43"/>
    <mergeCell ref="E42:E43"/>
    <mergeCell ref="F42:F43"/>
    <mergeCell ref="G42:G43"/>
    <mergeCell ref="H42:H43"/>
    <mergeCell ref="B40:B41"/>
    <mergeCell ref="E40:E41"/>
    <mergeCell ref="F40:F41"/>
    <mergeCell ref="G40:G41"/>
    <mergeCell ref="H40:H41"/>
    <mergeCell ref="B38:B39"/>
    <mergeCell ref="E38:E39"/>
    <mergeCell ref="F38:F39"/>
    <mergeCell ref="G38:G39"/>
    <mergeCell ref="H38:H39"/>
    <mergeCell ref="H30:H31"/>
    <mergeCell ref="B32:B33"/>
    <mergeCell ref="E32:E33"/>
    <mergeCell ref="F32:F33"/>
    <mergeCell ref="G32:G33"/>
    <mergeCell ref="H32:H33"/>
    <mergeCell ref="B30:B31"/>
    <mergeCell ref="E30:E31"/>
    <mergeCell ref="F30:F31"/>
    <mergeCell ref="G30:G31"/>
    <mergeCell ref="B34:B35"/>
    <mergeCell ref="E34:E35"/>
    <mergeCell ref="F34:F35"/>
    <mergeCell ref="G34:G35"/>
    <mergeCell ref="B36:B37"/>
    <mergeCell ref="E36:E37"/>
    <mergeCell ref="F36:F37"/>
    <mergeCell ref="H34:H35"/>
    <mergeCell ref="G36:G37"/>
    <mergeCell ref="H26:H27"/>
    <mergeCell ref="B28:B29"/>
    <mergeCell ref="E28:E29"/>
    <mergeCell ref="F28:F29"/>
    <mergeCell ref="G28:G29"/>
    <mergeCell ref="H28:H29"/>
    <mergeCell ref="B26:B27"/>
    <mergeCell ref="E26:E27"/>
    <mergeCell ref="F26:F27"/>
    <mergeCell ref="G26:G27"/>
    <mergeCell ref="H36:H37"/>
    <mergeCell ref="B20:B21"/>
    <mergeCell ref="B22:B23"/>
    <mergeCell ref="B24:B25"/>
    <mergeCell ref="B12:B13"/>
    <mergeCell ref="B14:B15"/>
    <mergeCell ref="B16:B17"/>
    <mergeCell ref="B18:B19"/>
    <mergeCell ref="H6:H7"/>
    <mergeCell ref="H12:H13"/>
    <mergeCell ref="H14:H15"/>
    <mergeCell ref="F20:F21"/>
    <mergeCell ref="G20:G21"/>
    <mergeCell ref="F12:F13"/>
    <mergeCell ref="G12:G13"/>
    <mergeCell ref="F14:F15"/>
    <mergeCell ref="G14:G15"/>
    <mergeCell ref="E20:E21"/>
    <mergeCell ref="E22:E23"/>
    <mergeCell ref="E12:E13"/>
    <mergeCell ref="E14:E15"/>
    <mergeCell ref="H20:H21"/>
    <mergeCell ref="H22:H23"/>
    <mergeCell ref="F22:F23"/>
    <mergeCell ref="B3:G4"/>
    <mergeCell ref="B6:B7"/>
    <mergeCell ref="E6:E7"/>
    <mergeCell ref="F6:F7"/>
    <mergeCell ref="G6:G7"/>
    <mergeCell ref="E8:E9"/>
    <mergeCell ref="F8:F9"/>
    <mergeCell ref="G8:G9"/>
    <mergeCell ref="H8:H9"/>
    <mergeCell ref="B10:B11"/>
    <mergeCell ref="E10:E11"/>
    <mergeCell ref="F10:F11"/>
    <mergeCell ref="G10:G11"/>
    <mergeCell ref="H10:H11"/>
    <mergeCell ref="B8:B9"/>
    <mergeCell ref="E24:E25"/>
    <mergeCell ref="F24:F25"/>
    <mergeCell ref="G24:G25"/>
    <mergeCell ref="H24:H25"/>
    <mergeCell ref="G22:G23"/>
    <mergeCell ref="F16:F17"/>
    <mergeCell ref="G16:G17"/>
    <mergeCell ref="H16:H17"/>
    <mergeCell ref="E18:E19"/>
    <mergeCell ref="F18:F19"/>
    <mergeCell ref="G18:G19"/>
    <mergeCell ref="H18:H19"/>
    <mergeCell ref="E16:E17"/>
  </mergeCells>
  <phoneticPr fontId="7" type="noConversion"/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C146-3EC9-4F30-BB3C-B04930667E03}">
  <dimension ref="C8:J72"/>
  <sheetViews>
    <sheetView rightToLeft="1" zoomScaleNormal="100" workbookViewId="0">
      <selection activeCell="H13" sqref="H13:H14"/>
    </sheetView>
  </sheetViews>
  <sheetFormatPr baseColWidth="10" defaultRowHeight="15" x14ac:dyDescent="0.25"/>
  <cols>
    <col min="3" max="3" width="18.85546875" customWidth="1"/>
    <col min="4" max="4" width="19.7109375" customWidth="1"/>
    <col min="5" max="6" width="30" bestFit="1" customWidth="1"/>
    <col min="7" max="7" width="20.85546875" customWidth="1"/>
    <col min="8" max="8" width="20.7109375" customWidth="1"/>
    <col min="9" max="9" width="19" customWidth="1"/>
  </cols>
  <sheetData>
    <row r="8" spans="3:10" x14ac:dyDescent="0.25">
      <c r="D8" s="181" t="s">
        <v>600</v>
      </c>
      <c r="E8" s="182"/>
      <c r="F8" s="182"/>
      <c r="G8" s="182"/>
      <c r="H8" s="182"/>
      <c r="I8" s="183"/>
    </row>
    <row r="9" spans="3:10" x14ac:dyDescent="0.25">
      <c r="D9" s="184"/>
      <c r="E9" s="185"/>
      <c r="F9" s="185"/>
      <c r="G9" s="185"/>
      <c r="H9" s="185"/>
      <c r="I9" s="186"/>
    </row>
    <row r="10" spans="3:10" ht="19.5" thickBot="1" x14ac:dyDescent="0.3">
      <c r="D10" s="40" t="s">
        <v>230</v>
      </c>
      <c r="E10" s="41" t="s">
        <v>2</v>
      </c>
      <c r="F10" s="42" t="s">
        <v>374</v>
      </c>
      <c r="G10" s="43" t="s">
        <v>375</v>
      </c>
      <c r="H10" s="44" t="s">
        <v>376</v>
      </c>
      <c r="I10" s="45" t="s">
        <v>377</v>
      </c>
    </row>
    <row r="11" spans="3:10" ht="24" customHeight="1" x14ac:dyDescent="0.25">
      <c r="D11" s="194" t="s">
        <v>394</v>
      </c>
      <c r="E11" s="34">
        <v>250</v>
      </c>
      <c r="F11" s="30"/>
      <c r="G11" s="174" t="s">
        <v>379</v>
      </c>
      <c r="H11" s="143" t="s">
        <v>391</v>
      </c>
      <c r="I11" s="195" t="s">
        <v>392</v>
      </c>
      <c r="J11" s="175"/>
    </row>
    <row r="12" spans="3:10" ht="22.5" customHeight="1" x14ac:dyDescent="0.25">
      <c r="D12" s="187"/>
      <c r="E12" s="34" t="s">
        <v>390</v>
      </c>
      <c r="F12" s="35"/>
      <c r="G12" s="174"/>
      <c r="H12" s="144"/>
      <c r="I12" s="178"/>
      <c r="J12" s="176"/>
    </row>
    <row r="13" spans="3:10" ht="18.75" x14ac:dyDescent="0.25">
      <c r="D13" s="194" t="s">
        <v>393</v>
      </c>
      <c r="E13" s="34">
        <v>250</v>
      </c>
      <c r="F13" s="30"/>
      <c r="G13" s="174" t="s">
        <v>379</v>
      </c>
      <c r="H13" s="143" t="s">
        <v>396</v>
      </c>
      <c r="I13" s="195" t="s">
        <v>392</v>
      </c>
      <c r="J13" s="143"/>
    </row>
    <row r="14" spans="3:10" ht="20.25" customHeight="1" x14ac:dyDescent="0.25">
      <c r="D14" s="187"/>
      <c r="E14" s="34" t="s">
        <v>395</v>
      </c>
      <c r="F14" s="35"/>
      <c r="G14" s="174"/>
      <c r="H14" s="144"/>
      <c r="I14" s="178"/>
      <c r="J14" s="144"/>
    </row>
    <row r="15" spans="3:10" ht="18.75" x14ac:dyDescent="0.25">
      <c r="C15" s="49"/>
      <c r="D15" s="187" t="s">
        <v>404</v>
      </c>
      <c r="E15" s="34">
        <v>250</v>
      </c>
      <c r="F15" s="30">
        <v>2000</v>
      </c>
      <c r="G15" s="174" t="s">
        <v>405</v>
      </c>
      <c r="H15" s="143" t="s">
        <v>406</v>
      </c>
      <c r="I15" s="177"/>
      <c r="J15" s="190"/>
    </row>
    <row r="16" spans="3:10" x14ac:dyDescent="0.25">
      <c r="C16" s="49"/>
      <c r="D16" s="187"/>
      <c r="E16" s="34" t="s">
        <v>409</v>
      </c>
      <c r="F16" s="34" t="s">
        <v>409</v>
      </c>
      <c r="G16" s="174"/>
      <c r="H16" s="144"/>
      <c r="I16" s="178"/>
      <c r="J16" s="191"/>
    </row>
    <row r="17" spans="4:10" ht="18.75" x14ac:dyDescent="0.25">
      <c r="D17" s="143" t="s">
        <v>407</v>
      </c>
      <c r="E17" s="34">
        <v>250</v>
      </c>
      <c r="F17" s="30">
        <v>3000</v>
      </c>
      <c r="G17" s="174" t="s">
        <v>60</v>
      </c>
      <c r="H17" s="143" t="s">
        <v>408</v>
      </c>
      <c r="I17" s="177"/>
      <c r="J17" s="190"/>
    </row>
    <row r="18" spans="4:10" x14ac:dyDescent="0.25">
      <c r="D18" s="144"/>
      <c r="E18" s="34" t="s">
        <v>410</v>
      </c>
      <c r="F18" s="34" t="s">
        <v>410</v>
      </c>
      <c r="G18" s="174"/>
      <c r="H18" s="144"/>
      <c r="I18" s="178"/>
      <c r="J18" s="191"/>
    </row>
    <row r="19" spans="4:10" ht="18.75" x14ac:dyDescent="0.25">
      <c r="D19" s="143" t="s">
        <v>411</v>
      </c>
      <c r="E19" s="34">
        <v>250</v>
      </c>
      <c r="F19" s="30">
        <v>3000</v>
      </c>
      <c r="G19" s="174" t="s">
        <v>60</v>
      </c>
      <c r="H19" s="143" t="s">
        <v>413</v>
      </c>
      <c r="I19" s="177"/>
      <c r="J19" s="190"/>
    </row>
    <row r="20" spans="4:10" ht="15" customHeight="1" x14ac:dyDescent="0.25">
      <c r="D20" s="144"/>
      <c r="E20" s="34" t="s">
        <v>418</v>
      </c>
      <c r="F20" s="34" t="s">
        <v>412</v>
      </c>
      <c r="G20" s="174"/>
      <c r="H20" s="144"/>
      <c r="I20" s="178"/>
      <c r="J20" s="191"/>
    </row>
    <row r="21" spans="4:10" ht="18.75" x14ac:dyDescent="0.25">
      <c r="D21" s="143" t="s">
        <v>411</v>
      </c>
      <c r="E21" s="34">
        <v>250</v>
      </c>
      <c r="F21" s="30">
        <v>2500</v>
      </c>
      <c r="G21" s="174" t="s">
        <v>60</v>
      </c>
      <c r="H21" s="143" t="s">
        <v>406</v>
      </c>
      <c r="I21" s="177">
        <v>551149295</v>
      </c>
      <c r="J21" s="190"/>
    </row>
    <row r="22" spans="4:10" ht="15" customHeight="1" x14ac:dyDescent="0.25">
      <c r="D22" s="144"/>
      <c r="E22" s="34" t="s">
        <v>418</v>
      </c>
      <c r="F22" s="34" t="s">
        <v>412</v>
      </c>
      <c r="G22" s="174"/>
      <c r="H22" s="144"/>
      <c r="I22" s="178"/>
      <c r="J22" s="191"/>
    </row>
    <row r="23" spans="4:10" ht="18.75" x14ac:dyDescent="0.25">
      <c r="D23" s="143" t="s">
        <v>414</v>
      </c>
      <c r="E23" s="34">
        <v>250</v>
      </c>
      <c r="F23" s="30"/>
      <c r="G23" s="174" t="s">
        <v>415</v>
      </c>
      <c r="H23" s="143" t="s">
        <v>408</v>
      </c>
      <c r="I23" s="177">
        <v>782863088</v>
      </c>
      <c r="J23" s="190"/>
    </row>
    <row r="24" spans="4:10" ht="15" customHeight="1" x14ac:dyDescent="0.25">
      <c r="D24" s="144"/>
      <c r="E24" s="34" t="s">
        <v>417</v>
      </c>
      <c r="F24" s="35"/>
      <c r="G24" s="174"/>
      <c r="H24" s="144"/>
      <c r="I24" s="178"/>
      <c r="J24" s="191"/>
    </row>
    <row r="25" spans="4:10" ht="18.75" x14ac:dyDescent="0.25">
      <c r="D25" s="143" t="s">
        <v>265</v>
      </c>
      <c r="E25" s="34">
        <v>250</v>
      </c>
      <c r="F25" s="30">
        <v>3000</v>
      </c>
      <c r="G25" s="174" t="s">
        <v>420</v>
      </c>
      <c r="H25" s="143" t="s">
        <v>419</v>
      </c>
      <c r="I25" s="177">
        <v>656294981</v>
      </c>
      <c r="J25" s="190"/>
    </row>
    <row r="26" spans="4:10" x14ac:dyDescent="0.25">
      <c r="D26" s="144"/>
      <c r="E26" s="34" t="s">
        <v>416</v>
      </c>
      <c r="F26" s="34" t="s">
        <v>416</v>
      </c>
      <c r="G26" s="174"/>
      <c r="H26" s="144"/>
      <c r="I26" s="178"/>
      <c r="J26" s="191"/>
    </row>
    <row r="27" spans="4:10" ht="18.75" x14ac:dyDescent="0.25">
      <c r="D27" s="143" t="s">
        <v>421</v>
      </c>
      <c r="E27" s="34">
        <v>250</v>
      </c>
      <c r="F27" s="30">
        <v>3000</v>
      </c>
      <c r="G27" s="174" t="s">
        <v>379</v>
      </c>
      <c r="H27" s="143" t="s">
        <v>423</v>
      </c>
      <c r="I27" s="177"/>
      <c r="J27" s="190"/>
    </row>
    <row r="28" spans="4:10" x14ac:dyDescent="0.25">
      <c r="D28" s="144"/>
      <c r="E28" s="34" t="s">
        <v>422</v>
      </c>
      <c r="F28" s="34" t="s">
        <v>422</v>
      </c>
      <c r="G28" s="174"/>
      <c r="H28" s="144"/>
      <c r="I28" s="178"/>
      <c r="J28" s="191"/>
    </row>
    <row r="29" spans="4:10" ht="18.75" x14ac:dyDescent="0.25">
      <c r="D29" s="187" t="s">
        <v>424</v>
      </c>
      <c r="E29" s="34">
        <v>250</v>
      </c>
      <c r="F29" s="30">
        <v>3000</v>
      </c>
      <c r="G29" s="174" t="s">
        <v>379</v>
      </c>
      <c r="H29" s="143" t="s">
        <v>423</v>
      </c>
      <c r="I29" s="177"/>
      <c r="J29" s="190"/>
    </row>
    <row r="30" spans="4:10" ht="15" customHeight="1" x14ac:dyDescent="0.25">
      <c r="D30" s="187"/>
      <c r="E30" s="34" t="s">
        <v>425</v>
      </c>
      <c r="F30" s="34" t="s">
        <v>425</v>
      </c>
      <c r="G30" s="174"/>
      <c r="H30" s="144"/>
      <c r="I30" s="178"/>
      <c r="J30" s="191"/>
    </row>
    <row r="31" spans="4:10" ht="18.75" x14ac:dyDescent="0.25">
      <c r="D31" s="143" t="s">
        <v>426</v>
      </c>
      <c r="E31" s="34">
        <v>250</v>
      </c>
      <c r="F31" s="48">
        <v>3000</v>
      </c>
      <c r="G31" s="174" t="s">
        <v>379</v>
      </c>
      <c r="H31" s="143" t="s">
        <v>423</v>
      </c>
      <c r="I31" s="177"/>
      <c r="J31" s="190"/>
    </row>
    <row r="32" spans="4:10" ht="15" customHeight="1" x14ac:dyDescent="0.25">
      <c r="D32" s="144"/>
      <c r="E32" s="34" t="s">
        <v>427</v>
      </c>
      <c r="F32" s="34" t="s">
        <v>427</v>
      </c>
      <c r="G32" s="174"/>
      <c r="H32" s="144"/>
      <c r="I32" s="178"/>
      <c r="J32" s="191"/>
    </row>
    <row r="33" spans="4:10" ht="18.75" x14ac:dyDescent="0.25">
      <c r="D33" s="187" t="s">
        <v>428</v>
      </c>
      <c r="E33" s="34"/>
      <c r="F33" s="48">
        <v>3000</v>
      </c>
      <c r="G33" s="174" t="s">
        <v>379</v>
      </c>
      <c r="H33" s="143" t="s">
        <v>423</v>
      </c>
      <c r="I33" s="177"/>
      <c r="J33" s="190"/>
    </row>
    <row r="34" spans="4:10" ht="15" customHeight="1" x14ac:dyDescent="0.25">
      <c r="D34" s="187"/>
      <c r="E34" s="34"/>
      <c r="F34" s="34" t="s">
        <v>429</v>
      </c>
      <c r="G34" s="174"/>
      <c r="H34" s="144"/>
      <c r="I34" s="178"/>
      <c r="J34" s="191"/>
    </row>
    <row r="35" spans="4:10" ht="18.75" x14ac:dyDescent="0.25">
      <c r="D35" s="143" t="s">
        <v>430</v>
      </c>
      <c r="E35" s="34"/>
      <c r="F35" s="48">
        <v>1000</v>
      </c>
      <c r="G35" s="174" t="s">
        <v>405</v>
      </c>
      <c r="H35" s="143" t="s">
        <v>432</v>
      </c>
      <c r="I35" s="177"/>
      <c r="J35" s="190"/>
    </row>
    <row r="36" spans="4:10" ht="15" customHeight="1" x14ac:dyDescent="0.25">
      <c r="D36" s="144"/>
      <c r="E36" s="34"/>
      <c r="F36" s="34" t="s">
        <v>431</v>
      </c>
      <c r="G36" s="174"/>
      <c r="H36" s="144"/>
      <c r="I36" s="178"/>
      <c r="J36" s="191"/>
    </row>
    <row r="37" spans="4:10" ht="18.75" x14ac:dyDescent="0.25">
      <c r="D37" s="187" t="s">
        <v>433</v>
      </c>
      <c r="E37" s="34">
        <v>250</v>
      </c>
      <c r="F37" s="48">
        <v>2000</v>
      </c>
      <c r="G37" s="174" t="s">
        <v>405</v>
      </c>
      <c r="H37" s="143" t="s">
        <v>432</v>
      </c>
      <c r="I37" s="177" t="s">
        <v>435</v>
      </c>
      <c r="J37" s="190"/>
    </row>
    <row r="38" spans="4:10" ht="15" customHeight="1" x14ac:dyDescent="0.25">
      <c r="D38" s="187"/>
      <c r="E38" s="34" t="s">
        <v>434</v>
      </c>
      <c r="F38" s="34" t="s">
        <v>434</v>
      </c>
      <c r="G38" s="174"/>
      <c r="H38" s="144"/>
      <c r="I38" s="178"/>
      <c r="J38" s="191"/>
    </row>
    <row r="39" spans="4:10" ht="18.75" x14ac:dyDescent="0.25">
      <c r="D39" s="143" t="s">
        <v>436</v>
      </c>
      <c r="E39" s="34">
        <v>250</v>
      </c>
      <c r="F39" s="48">
        <v>3000</v>
      </c>
      <c r="G39" s="174" t="s">
        <v>438</v>
      </c>
      <c r="H39" s="143" t="s">
        <v>439</v>
      </c>
      <c r="I39" s="177" t="s">
        <v>440</v>
      </c>
      <c r="J39" s="190"/>
    </row>
    <row r="40" spans="4:10" x14ac:dyDescent="0.25">
      <c r="D40" s="144"/>
      <c r="E40" s="34" t="s">
        <v>437</v>
      </c>
      <c r="F40" s="34" t="s">
        <v>437</v>
      </c>
      <c r="G40" s="174"/>
      <c r="H40" s="144"/>
      <c r="I40" s="178"/>
      <c r="J40" s="191"/>
    </row>
    <row r="41" spans="4:10" ht="18.75" x14ac:dyDescent="0.25">
      <c r="D41" s="187" t="s">
        <v>441</v>
      </c>
      <c r="E41" s="34">
        <v>250</v>
      </c>
      <c r="F41" s="48">
        <v>2000</v>
      </c>
      <c r="G41" s="174" t="s">
        <v>405</v>
      </c>
      <c r="H41" s="143" t="s">
        <v>432</v>
      </c>
      <c r="I41" s="177"/>
      <c r="J41" s="190"/>
    </row>
    <row r="42" spans="4:10" ht="15" customHeight="1" x14ac:dyDescent="0.25">
      <c r="D42" s="187"/>
      <c r="E42" s="34" t="s">
        <v>442</v>
      </c>
      <c r="F42" s="34" t="s">
        <v>442</v>
      </c>
      <c r="G42" s="174"/>
      <c r="H42" s="144"/>
      <c r="I42" s="178"/>
      <c r="J42" s="191"/>
    </row>
    <row r="43" spans="4:10" ht="18.75" x14ac:dyDescent="0.25">
      <c r="D43" s="187" t="s">
        <v>443</v>
      </c>
      <c r="E43" s="34">
        <v>250</v>
      </c>
      <c r="F43" s="48">
        <v>3000</v>
      </c>
      <c r="G43" s="174" t="s">
        <v>379</v>
      </c>
      <c r="H43" s="143" t="s">
        <v>445</v>
      </c>
      <c r="I43" s="177"/>
      <c r="J43" s="190"/>
    </row>
    <row r="44" spans="4:10" ht="15" customHeight="1" x14ac:dyDescent="0.25">
      <c r="D44" s="187"/>
      <c r="E44" s="34" t="s">
        <v>444</v>
      </c>
      <c r="F44" s="34" t="s">
        <v>444</v>
      </c>
      <c r="G44" s="174"/>
      <c r="H44" s="144"/>
      <c r="I44" s="178"/>
      <c r="J44" s="191"/>
    </row>
    <row r="45" spans="4:10" ht="18.75" x14ac:dyDescent="0.25">
      <c r="D45" s="143" t="s">
        <v>446</v>
      </c>
      <c r="E45" s="34">
        <v>250</v>
      </c>
      <c r="F45" s="48">
        <v>2000</v>
      </c>
      <c r="G45" s="174" t="s">
        <v>405</v>
      </c>
      <c r="H45" s="143" t="s">
        <v>432</v>
      </c>
      <c r="I45" s="177"/>
      <c r="J45" s="190"/>
    </row>
    <row r="46" spans="4:10" ht="15" customHeight="1" x14ac:dyDescent="0.25">
      <c r="D46" s="144"/>
      <c r="E46" s="34" t="s">
        <v>447</v>
      </c>
      <c r="F46" s="34" t="s">
        <v>447</v>
      </c>
      <c r="G46" s="174"/>
      <c r="H46" s="144"/>
      <c r="I46" s="178"/>
      <c r="J46" s="191"/>
    </row>
    <row r="47" spans="4:10" ht="18.75" x14ac:dyDescent="0.25">
      <c r="D47" s="187" t="s">
        <v>448</v>
      </c>
      <c r="E47" s="34">
        <v>250</v>
      </c>
      <c r="F47" s="48"/>
      <c r="G47" s="174" t="s">
        <v>405</v>
      </c>
      <c r="H47" s="143" t="s">
        <v>432</v>
      </c>
      <c r="I47" s="177"/>
      <c r="J47" s="190"/>
    </row>
    <row r="48" spans="4:10" ht="15" customHeight="1" x14ac:dyDescent="0.25">
      <c r="D48" s="187"/>
      <c r="E48" s="34" t="s">
        <v>449</v>
      </c>
      <c r="F48" s="35"/>
      <c r="G48" s="174"/>
      <c r="H48" s="144"/>
      <c r="I48" s="178"/>
      <c r="J48" s="191"/>
    </row>
    <row r="49" spans="4:10" ht="18.75" x14ac:dyDescent="0.25">
      <c r="D49" s="143" t="s">
        <v>450</v>
      </c>
      <c r="E49" s="34">
        <v>250</v>
      </c>
      <c r="F49" s="48">
        <v>3000</v>
      </c>
      <c r="G49" s="174" t="s">
        <v>379</v>
      </c>
      <c r="H49" s="143" t="s">
        <v>439</v>
      </c>
      <c r="I49" s="177"/>
      <c r="J49" s="190"/>
    </row>
    <row r="50" spans="4:10" ht="15" customHeight="1" x14ac:dyDescent="0.25">
      <c r="D50" s="144"/>
      <c r="E50" s="34" t="s">
        <v>451</v>
      </c>
      <c r="F50" s="34" t="s">
        <v>451</v>
      </c>
      <c r="G50" s="174"/>
      <c r="H50" s="144"/>
      <c r="I50" s="178"/>
      <c r="J50" s="191"/>
    </row>
    <row r="51" spans="4:10" ht="18.75" x14ac:dyDescent="0.25">
      <c r="D51" s="143" t="s">
        <v>450</v>
      </c>
      <c r="E51" s="34">
        <v>250</v>
      </c>
      <c r="F51" s="48">
        <v>2500</v>
      </c>
      <c r="G51" s="174" t="s">
        <v>379</v>
      </c>
      <c r="H51" s="143" t="s">
        <v>406</v>
      </c>
      <c r="I51" s="177"/>
      <c r="J51" s="190"/>
    </row>
    <row r="52" spans="4:10" ht="15" customHeight="1" x14ac:dyDescent="0.25">
      <c r="D52" s="144"/>
      <c r="E52" s="34" t="s">
        <v>453</v>
      </c>
      <c r="F52" s="34" t="s">
        <v>453</v>
      </c>
      <c r="G52" s="174"/>
      <c r="H52" s="144"/>
      <c r="I52" s="178"/>
      <c r="J52" s="191"/>
    </row>
    <row r="53" spans="4:10" ht="18.75" x14ac:dyDescent="0.25">
      <c r="D53" s="143" t="s">
        <v>452</v>
      </c>
      <c r="E53" s="34">
        <v>250</v>
      </c>
      <c r="F53" s="48"/>
      <c r="G53" s="174" t="s">
        <v>379</v>
      </c>
      <c r="H53" s="143" t="s">
        <v>423</v>
      </c>
      <c r="I53" s="177"/>
      <c r="J53" s="190"/>
    </row>
    <row r="54" spans="4:10" ht="15" customHeight="1" x14ac:dyDescent="0.25">
      <c r="D54" s="144"/>
      <c r="E54" s="34" t="s">
        <v>454</v>
      </c>
      <c r="F54" s="35"/>
      <c r="G54" s="174"/>
      <c r="H54" s="144"/>
      <c r="I54" s="178"/>
      <c r="J54" s="191"/>
    </row>
    <row r="55" spans="4:10" ht="18.75" x14ac:dyDescent="0.25">
      <c r="D55" s="187" t="s">
        <v>455</v>
      </c>
      <c r="E55" s="34">
        <v>250</v>
      </c>
      <c r="F55" s="48">
        <v>3000</v>
      </c>
      <c r="G55" s="174" t="s">
        <v>379</v>
      </c>
      <c r="H55" s="143" t="s">
        <v>439</v>
      </c>
      <c r="I55" s="177"/>
      <c r="J55" s="190"/>
    </row>
    <row r="56" spans="4:10" ht="15" customHeight="1" x14ac:dyDescent="0.25">
      <c r="D56" s="187"/>
      <c r="E56" s="34" t="s">
        <v>456</v>
      </c>
      <c r="F56" s="34" t="s">
        <v>456</v>
      </c>
      <c r="G56" s="174"/>
      <c r="H56" s="144"/>
      <c r="I56" s="178"/>
      <c r="J56" s="191"/>
    </row>
    <row r="57" spans="4:10" ht="18.75" x14ac:dyDescent="0.25">
      <c r="D57" s="143" t="s">
        <v>541</v>
      </c>
      <c r="E57" s="34">
        <v>250</v>
      </c>
      <c r="F57" s="48"/>
      <c r="G57" s="174" t="s">
        <v>415</v>
      </c>
      <c r="H57" s="143" t="s">
        <v>432</v>
      </c>
      <c r="I57" s="177"/>
      <c r="J57" s="190"/>
    </row>
    <row r="58" spans="4:10" x14ac:dyDescent="0.25">
      <c r="D58" s="144"/>
      <c r="E58" s="34" t="s">
        <v>542</v>
      </c>
      <c r="F58" s="35"/>
      <c r="G58" s="174"/>
      <c r="H58" s="144"/>
      <c r="I58" s="178"/>
      <c r="J58" s="191"/>
    </row>
    <row r="59" spans="4:10" ht="18.75" x14ac:dyDescent="0.25">
      <c r="D59" s="187" t="s">
        <v>543</v>
      </c>
      <c r="E59" s="34">
        <v>250</v>
      </c>
      <c r="F59" s="48">
        <v>3000</v>
      </c>
      <c r="G59" s="174" t="s">
        <v>379</v>
      </c>
      <c r="H59" s="143" t="s">
        <v>439</v>
      </c>
      <c r="I59" s="177"/>
      <c r="J59" s="190"/>
    </row>
    <row r="60" spans="4:10" ht="15" customHeight="1" x14ac:dyDescent="0.25">
      <c r="D60" s="187"/>
      <c r="E60" s="34" t="s">
        <v>544</v>
      </c>
      <c r="F60" s="34" t="s">
        <v>544</v>
      </c>
      <c r="G60" s="174"/>
      <c r="H60" s="144"/>
      <c r="I60" s="178"/>
      <c r="J60" s="191"/>
    </row>
    <row r="61" spans="4:10" ht="18.75" x14ac:dyDescent="0.25">
      <c r="D61" s="143" t="s">
        <v>545</v>
      </c>
      <c r="E61" s="34">
        <v>250</v>
      </c>
      <c r="F61" s="48"/>
      <c r="G61" s="174" t="s">
        <v>379</v>
      </c>
      <c r="H61" s="143" t="s">
        <v>547</v>
      </c>
      <c r="I61" s="177"/>
      <c r="J61" s="190"/>
    </row>
    <row r="62" spans="4:10" ht="15" customHeight="1" x14ac:dyDescent="0.25">
      <c r="D62" s="144"/>
      <c r="E62" s="34" t="s">
        <v>546</v>
      </c>
      <c r="F62" s="35"/>
      <c r="G62" s="174"/>
      <c r="H62" s="144"/>
      <c r="I62" s="178"/>
      <c r="J62" s="191"/>
    </row>
    <row r="63" spans="4:10" ht="15" customHeight="1" x14ac:dyDescent="0.25">
      <c r="D63" s="187" t="s">
        <v>548</v>
      </c>
      <c r="E63" s="34"/>
      <c r="F63" s="34">
        <v>3000</v>
      </c>
      <c r="G63" s="174" t="s">
        <v>379</v>
      </c>
      <c r="H63" s="143" t="s">
        <v>423</v>
      </c>
      <c r="I63" s="177" t="s">
        <v>550</v>
      </c>
      <c r="J63" s="190"/>
    </row>
    <row r="64" spans="4:10" ht="15" customHeight="1" x14ac:dyDescent="0.25">
      <c r="D64" s="187"/>
      <c r="E64" s="34"/>
      <c r="F64" s="34" t="s">
        <v>549</v>
      </c>
      <c r="G64" s="174"/>
      <c r="H64" s="144"/>
      <c r="I64" s="178"/>
      <c r="J64" s="191"/>
    </row>
    <row r="65" spans="4:10" ht="18.75" x14ac:dyDescent="0.25">
      <c r="D65" s="143" t="s">
        <v>551</v>
      </c>
      <c r="E65" s="34">
        <v>250</v>
      </c>
      <c r="F65" s="48">
        <v>3000</v>
      </c>
      <c r="G65" s="174" t="s">
        <v>379</v>
      </c>
      <c r="H65" s="143" t="s">
        <v>547</v>
      </c>
      <c r="I65" s="177"/>
      <c r="J65" s="190"/>
    </row>
    <row r="66" spans="4:10" ht="15" customHeight="1" x14ac:dyDescent="0.25">
      <c r="D66" s="144"/>
      <c r="E66" s="34" t="s">
        <v>552</v>
      </c>
      <c r="F66" s="34" t="s">
        <v>552</v>
      </c>
      <c r="G66" s="174"/>
      <c r="H66" s="144"/>
      <c r="I66" s="178"/>
      <c r="J66" s="191"/>
    </row>
    <row r="67" spans="4:10" ht="18.75" x14ac:dyDescent="0.25">
      <c r="D67" s="143" t="s">
        <v>551</v>
      </c>
      <c r="E67" s="34">
        <v>250</v>
      </c>
      <c r="F67" s="48">
        <v>2500</v>
      </c>
      <c r="G67" s="174" t="s">
        <v>379</v>
      </c>
      <c r="H67" s="143" t="s">
        <v>406</v>
      </c>
      <c r="I67" s="177"/>
      <c r="J67" s="190"/>
    </row>
    <row r="68" spans="4:10" ht="15" customHeight="1" x14ac:dyDescent="0.25">
      <c r="D68" s="144"/>
      <c r="E68" s="34" t="s">
        <v>552</v>
      </c>
      <c r="F68" s="34" t="s">
        <v>552</v>
      </c>
      <c r="G68" s="174"/>
      <c r="H68" s="144"/>
      <c r="I68" s="178"/>
      <c r="J68" s="191"/>
    </row>
    <row r="69" spans="4:10" ht="18.75" x14ac:dyDescent="0.25">
      <c r="D69" s="143" t="s">
        <v>551</v>
      </c>
      <c r="E69" s="34">
        <v>250</v>
      </c>
      <c r="F69" s="56">
        <v>2500</v>
      </c>
      <c r="G69" s="174" t="s">
        <v>379</v>
      </c>
      <c r="H69" s="143" t="s">
        <v>553</v>
      </c>
      <c r="I69" s="177"/>
      <c r="J69" s="190"/>
    </row>
    <row r="70" spans="4:10" ht="15" customHeight="1" x14ac:dyDescent="0.25">
      <c r="D70" s="144"/>
      <c r="E70" s="34" t="s">
        <v>552</v>
      </c>
      <c r="F70" s="34" t="s">
        <v>552</v>
      </c>
      <c r="G70" s="174"/>
      <c r="H70" s="144"/>
      <c r="I70" s="178"/>
      <c r="J70" s="191"/>
    </row>
    <row r="71" spans="4:10" x14ac:dyDescent="0.25">
      <c r="D71" s="197" t="s">
        <v>596</v>
      </c>
      <c r="E71" s="196">
        <v>6750</v>
      </c>
      <c r="F71" s="196">
        <v>61000</v>
      </c>
      <c r="G71" s="196">
        <v>67750</v>
      </c>
    </row>
    <row r="72" spans="4:10" x14ac:dyDescent="0.25">
      <c r="D72" s="197"/>
      <c r="E72" s="196"/>
      <c r="F72" s="196"/>
      <c r="G72" s="196"/>
    </row>
  </sheetData>
  <mergeCells count="155">
    <mergeCell ref="E71:E72"/>
    <mergeCell ref="F71:F72"/>
    <mergeCell ref="D69:D70"/>
    <mergeCell ref="G69:G70"/>
    <mergeCell ref="H69:H70"/>
    <mergeCell ref="I69:I70"/>
    <mergeCell ref="J69:J70"/>
    <mergeCell ref="D71:D72"/>
    <mergeCell ref="G71:G72"/>
    <mergeCell ref="J11:J12"/>
    <mergeCell ref="D13:D14"/>
    <mergeCell ref="G13:G14"/>
    <mergeCell ref="H13:H14"/>
    <mergeCell ref="I13:I14"/>
    <mergeCell ref="J13:J14"/>
    <mergeCell ref="D8:I9"/>
    <mergeCell ref="D11:D12"/>
    <mergeCell ref="G11:G12"/>
    <mergeCell ref="H11:H12"/>
    <mergeCell ref="I11:I12"/>
    <mergeCell ref="D15:D16"/>
    <mergeCell ref="G15:G16"/>
    <mergeCell ref="H15:H16"/>
    <mergeCell ref="I15:I16"/>
    <mergeCell ref="J15:J16"/>
    <mergeCell ref="D17:D18"/>
    <mergeCell ref="G17:G18"/>
    <mergeCell ref="H17:H18"/>
    <mergeCell ref="I17:I18"/>
    <mergeCell ref="J17:J18"/>
    <mergeCell ref="D19:D20"/>
    <mergeCell ref="G19:G20"/>
    <mergeCell ref="H19:H20"/>
    <mergeCell ref="I19:I20"/>
    <mergeCell ref="J19:J20"/>
    <mergeCell ref="D21:D22"/>
    <mergeCell ref="G21:G22"/>
    <mergeCell ref="H21:H22"/>
    <mergeCell ref="I21:I22"/>
    <mergeCell ref="J21:J22"/>
    <mergeCell ref="D23:D24"/>
    <mergeCell ref="G23:G24"/>
    <mergeCell ref="H23:H24"/>
    <mergeCell ref="I23:I24"/>
    <mergeCell ref="J23:J24"/>
    <mergeCell ref="D25:D26"/>
    <mergeCell ref="G25:G26"/>
    <mergeCell ref="H25:H26"/>
    <mergeCell ref="I25:I26"/>
    <mergeCell ref="J25:J26"/>
    <mergeCell ref="J31:J32"/>
    <mergeCell ref="D27:D28"/>
    <mergeCell ref="G27:G28"/>
    <mergeCell ref="H27:H28"/>
    <mergeCell ref="I27:I28"/>
    <mergeCell ref="J27:J28"/>
    <mergeCell ref="D29:D30"/>
    <mergeCell ref="G29:G30"/>
    <mergeCell ref="H29:H30"/>
    <mergeCell ref="I29:I30"/>
    <mergeCell ref="J29:J30"/>
    <mergeCell ref="D31:D32"/>
    <mergeCell ref="G31:G32"/>
    <mergeCell ref="H31:H32"/>
    <mergeCell ref="I31:I32"/>
    <mergeCell ref="D33:D34"/>
    <mergeCell ref="G33:G34"/>
    <mergeCell ref="H33:H34"/>
    <mergeCell ref="I33:I34"/>
    <mergeCell ref="J33:J34"/>
    <mergeCell ref="D39:D40"/>
    <mergeCell ref="G39:G40"/>
    <mergeCell ref="H39:H40"/>
    <mergeCell ref="I39:I40"/>
    <mergeCell ref="J39:J40"/>
    <mergeCell ref="D35:D36"/>
    <mergeCell ref="G35:G36"/>
    <mergeCell ref="H35:H36"/>
    <mergeCell ref="I35:I36"/>
    <mergeCell ref="D43:D44"/>
    <mergeCell ref="G43:G44"/>
    <mergeCell ref="H43:H44"/>
    <mergeCell ref="I43:I44"/>
    <mergeCell ref="J43:J44"/>
    <mergeCell ref="J35:J36"/>
    <mergeCell ref="D37:D38"/>
    <mergeCell ref="G37:G38"/>
    <mergeCell ref="H37:H38"/>
    <mergeCell ref="I37:I38"/>
    <mergeCell ref="J37:J38"/>
    <mergeCell ref="D41:D42"/>
    <mergeCell ref="G41:G42"/>
    <mergeCell ref="H41:H42"/>
    <mergeCell ref="I41:I42"/>
    <mergeCell ref="J41:J42"/>
    <mergeCell ref="D47:D48"/>
    <mergeCell ref="G47:G48"/>
    <mergeCell ref="H47:H48"/>
    <mergeCell ref="I47:I48"/>
    <mergeCell ref="J47:J48"/>
    <mergeCell ref="D45:D46"/>
    <mergeCell ref="G45:G46"/>
    <mergeCell ref="H45:H46"/>
    <mergeCell ref="I45:I46"/>
    <mergeCell ref="J45:J46"/>
    <mergeCell ref="D51:D52"/>
    <mergeCell ref="G51:G52"/>
    <mergeCell ref="H51:H52"/>
    <mergeCell ref="I51:I52"/>
    <mergeCell ref="J51:J52"/>
    <mergeCell ref="D49:D50"/>
    <mergeCell ref="G49:G50"/>
    <mergeCell ref="H49:H50"/>
    <mergeCell ref="I49:I50"/>
    <mergeCell ref="J49:J50"/>
    <mergeCell ref="D55:D56"/>
    <mergeCell ref="G55:G56"/>
    <mergeCell ref="H55:H56"/>
    <mergeCell ref="I55:I56"/>
    <mergeCell ref="J55:J56"/>
    <mergeCell ref="D53:D54"/>
    <mergeCell ref="G53:G54"/>
    <mergeCell ref="H53:H54"/>
    <mergeCell ref="I53:I54"/>
    <mergeCell ref="J53:J54"/>
    <mergeCell ref="D59:D60"/>
    <mergeCell ref="G59:G60"/>
    <mergeCell ref="H59:H60"/>
    <mergeCell ref="I59:I60"/>
    <mergeCell ref="J59:J60"/>
    <mergeCell ref="D57:D58"/>
    <mergeCell ref="G57:G58"/>
    <mergeCell ref="H57:H58"/>
    <mergeCell ref="I57:I58"/>
    <mergeCell ref="J57:J58"/>
    <mergeCell ref="D63:D64"/>
    <mergeCell ref="G63:G64"/>
    <mergeCell ref="H63:H64"/>
    <mergeCell ref="I63:I64"/>
    <mergeCell ref="J63:J64"/>
    <mergeCell ref="D61:D62"/>
    <mergeCell ref="G61:G62"/>
    <mergeCell ref="H61:H62"/>
    <mergeCell ref="I61:I62"/>
    <mergeCell ref="J61:J62"/>
    <mergeCell ref="D67:D68"/>
    <mergeCell ref="G67:G68"/>
    <mergeCell ref="H67:H68"/>
    <mergeCell ref="I67:I68"/>
    <mergeCell ref="J67:J68"/>
    <mergeCell ref="D65:D66"/>
    <mergeCell ref="G65:G66"/>
    <mergeCell ref="H65:H66"/>
    <mergeCell ref="I65:I66"/>
    <mergeCell ref="J65:J66"/>
  </mergeCells>
  <phoneticPr fontId="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0EDE7-1CB7-45FB-B12A-D3A81F64B0E3}">
  <dimension ref="B3:E37"/>
  <sheetViews>
    <sheetView zoomScale="120" zoomScaleNormal="120" workbookViewId="0">
      <selection activeCell="E14" sqref="E14:E15"/>
    </sheetView>
  </sheetViews>
  <sheetFormatPr baseColWidth="10" defaultRowHeight="15" x14ac:dyDescent="0.25"/>
  <cols>
    <col min="2" max="2" width="16.5703125" bestFit="1" customWidth="1"/>
    <col min="3" max="3" width="15.7109375" customWidth="1"/>
    <col min="4" max="4" width="15.28515625" customWidth="1"/>
    <col min="5" max="5" width="66.28515625" bestFit="1" customWidth="1"/>
  </cols>
  <sheetData>
    <row r="3" spans="2:5" ht="26.25" x14ac:dyDescent="0.4">
      <c r="B3" s="46" t="s">
        <v>399</v>
      </c>
      <c r="C3" s="47" t="s">
        <v>400</v>
      </c>
      <c r="D3" s="47" t="s">
        <v>401</v>
      </c>
      <c r="E3" s="47" t="s">
        <v>402</v>
      </c>
    </row>
    <row r="4" spans="2:5" x14ac:dyDescent="0.25">
      <c r="B4" s="198">
        <v>46279</v>
      </c>
      <c r="C4" s="202">
        <v>48050</v>
      </c>
      <c r="D4" s="202">
        <v>4750</v>
      </c>
      <c r="E4" s="179" t="s">
        <v>403</v>
      </c>
    </row>
    <row r="5" spans="2:5" x14ac:dyDescent="0.25">
      <c r="B5" s="199"/>
      <c r="C5" s="203"/>
      <c r="D5" s="203"/>
      <c r="E5" s="180"/>
    </row>
    <row r="6" spans="2:5" x14ac:dyDescent="0.25">
      <c r="B6" s="198">
        <v>46280</v>
      </c>
      <c r="C6" s="202">
        <v>50200</v>
      </c>
      <c r="D6" s="202">
        <v>6500</v>
      </c>
      <c r="E6" s="179" t="s">
        <v>532</v>
      </c>
    </row>
    <row r="7" spans="2:5" x14ac:dyDescent="0.25">
      <c r="B7" s="199"/>
      <c r="C7" s="203"/>
      <c r="D7" s="203"/>
      <c r="E7" s="180"/>
    </row>
    <row r="8" spans="2:5" x14ac:dyDescent="0.25">
      <c r="B8" s="198">
        <v>46281</v>
      </c>
      <c r="C8" s="202">
        <v>28900</v>
      </c>
      <c r="D8" s="67">
        <v>1500</v>
      </c>
      <c r="E8" s="204" t="s">
        <v>597</v>
      </c>
    </row>
    <row r="9" spans="2:5" x14ac:dyDescent="0.25">
      <c r="B9" s="199"/>
      <c r="C9" s="203"/>
      <c r="D9" s="68"/>
      <c r="E9" s="205"/>
    </row>
    <row r="10" spans="2:5" x14ac:dyDescent="0.25">
      <c r="B10" s="198">
        <v>46282</v>
      </c>
      <c r="C10" s="67">
        <v>8500</v>
      </c>
      <c r="D10" s="67">
        <v>1000</v>
      </c>
      <c r="E10" s="200" t="s">
        <v>599</v>
      </c>
    </row>
    <row r="11" spans="2:5" x14ac:dyDescent="0.25">
      <c r="B11" s="199"/>
      <c r="C11" s="68"/>
      <c r="D11" s="68"/>
      <c r="E11" s="201"/>
    </row>
    <row r="12" spans="2:5" x14ac:dyDescent="0.25">
      <c r="B12" s="198">
        <v>46283</v>
      </c>
      <c r="C12" s="67"/>
      <c r="D12" s="67"/>
      <c r="E12" s="200"/>
    </row>
    <row r="13" spans="2:5" x14ac:dyDescent="0.25">
      <c r="B13" s="199"/>
      <c r="C13" s="68"/>
      <c r="D13" s="68"/>
      <c r="E13" s="201"/>
    </row>
    <row r="14" spans="2:5" ht="15" customHeight="1" x14ac:dyDescent="0.25">
      <c r="B14" s="198">
        <v>46284</v>
      </c>
      <c r="C14" s="67"/>
      <c r="D14" s="67"/>
      <c r="E14" s="200"/>
    </row>
    <row r="15" spans="2:5" ht="15" customHeight="1" x14ac:dyDescent="0.25">
      <c r="B15" s="199"/>
      <c r="C15" s="68"/>
      <c r="D15" s="68"/>
      <c r="E15" s="201"/>
    </row>
    <row r="16" spans="2:5" x14ac:dyDescent="0.25">
      <c r="B16" s="198">
        <v>46285</v>
      </c>
      <c r="C16" s="67"/>
      <c r="D16" s="67"/>
      <c r="E16" s="200"/>
    </row>
    <row r="17" spans="2:5" x14ac:dyDescent="0.25">
      <c r="B17" s="199"/>
      <c r="C17" s="68"/>
      <c r="D17" s="68"/>
      <c r="E17" s="201"/>
    </row>
    <row r="18" spans="2:5" x14ac:dyDescent="0.25">
      <c r="B18" s="198">
        <v>46286</v>
      </c>
      <c r="C18" s="67"/>
      <c r="D18" s="67"/>
      <c r="E18" s="200"/>
    </row>
    <row r="19" spans="2:5" x14ac:dyDescent="0.25">
      <c r="B19" s="199"/>
      <c r="C19" s="68"/>
      <c r="D19" s="68"/>
      <c r="E19" s="201"/>
    </row>
    <row r="20" spans="2:5" x14ac:dyDescent="0.25">
      <c r="B20" s="198">
        <v>46287</v>
      </c>
      <c r="C20" s="67"/>
      <c r="D20" s="67"/>
      <c r="E20" s="200"/>
    </row>
    <row r="21" spans="2:5" x14ac:dyDescent="0.25">
      <c r="B21" s="199"/>
      <c r="C21" s="68"/>
      <c r="D21" s="68"/>
      <c r="E21" s="201"/>
    </row>
    <row r="22" spans="2:5" x14ac:dyDescent="0.25">
      <c r="B22" s="198">
        <v>46288</v>
      </c>
      <c r="C22" s="67"/>
      <c r="D22" s="67"/>
      <c r="E22" s="200"/>
    </row>
    <row r="23" spans="2:5" x14ac:dyDescent="0.25">
      <c r="B23" s="199"/>
      <c r="C23" s="68"/>
      <c r="D23" s="68"/>
      <c r="E23" s="201"/>
    </row>
    <row r="24" spans="2:5" x14ac:dyDescent="0.25">
      <c r="B24" s="198">
        <v>46289</v>
      </c>
      <c r="C24" s="67"/>
      <c r="D24" s="67"/>
      <c r="E24" s="200"/>
    </row>
    <row r="25" spans="2:5" x14ac:dyDescent="0.25">
      <c r="B25" s="199"/>
      <c r="C25" s="68"/>
      <c r="D25" s="68"/>
      <c r="E25" s="201"/>
    </row>
    <row r="26" spans="2:5" x14ac:dyDescent="0.25">
      <c r="B26" s="198">
        <v>46290</v>
      </c>
      <c r="C26" s="67"/>
      <c r="D26" s="67"/>
      <c r="E26" s="200"/>
    </row>
    <row r="27" spans="2:5" x14ac:dyDescent="0.25">
      <c r="B27" s="199"/>
      <c r="C27" s="68"/>
      <c r="D27" s="68"/>
      <c r="E27" s="201"/>
    </row>
    <row r="28" spans="2:5" x14ac:dyDescent="0.25">
      <c r="B28" s="198">
        <v>46291</v>
      </c>
      <c r="C28" s="67"/>
      <c r="D28" s="67"/>
      <c r="E28" s="200"/>
    </row>
    <row r="29" spans="2:5" x14ac:dyDescent="0.25">
      <c r="B29" s="199"/>
      <c r="C29" s="68"/>
      <c r="D29" s="68"/>
      <c r="E29" s="201"/>
    </row>
    <row r="30" spans="2:5" x14ac:dyDescent="0.25">
      <c r="B30" s="198">
        <v>46292</v>
      </c>
      <c r="C30" s="67"/>
      <c r="D30" s="67"/>
      <c r="E30" s="200"/>
    </row>
    <row r="31" spans="2:5" x14ac:dyDescent="0.25">
      <c r="B31" s="199"/>
      <c r="C31" s="68"/>
      <c r="D31" s="68"/>
      <c r="E31" s="201"/>
    </row>
    <row r="32" spans="2:5" x14ac:dyDescent="0.25">
      <c r="B32" s="198">
        <v>46293</v>
      </c>
      <c r="C32" s="67"/>
      <c r="D32" s="67"/>
      <c r="E32" s="200"/>
    </row>
    <row r="33" spans="2:5" x14ac:dyDescent="0.25">
      <c r="B33" s="199"/>
      <c r="C33" s="68"/>
      <c r="D33" s="68"/>
      <c r="E33" s="201"/>
    </row>
    <row r="34" spans="2:5" x14ac:dyDescent="0.25">
      <c r="B34" s="198">
        <v>46294</v>
      </c>
      <c r="C34" s="67"/>
      <c r="D34" s="67"/>
      <c r="E34" s="200"/>
    </row>
    <row r="35" spans="2:5" x14ac:dyDescent="0.25">
      <c r="B35" s="199"/>
      <c r="C35" s="68"/>
      <c r="D35" s="68"/>
      <c r="E35" s="201"/>
    </row>
    <row r="36" spans="2:5" x14ac:dyDescent="0.25">
      <c r="B36" s="198">
        <v>46295</v>
      </c>
      <c r="C36" s="67"/>
      <c r="D36" s="67"/>
      <c r="E36" s="200"/>
    </row>
    <row r="37" spans="2:5" x14ac:dyDescent="0.25">
      <c r="B37" s="199"/>
      <c r="C37" s="68"/>
      <c r="D37" s="68"/>
      <c r="E37" s="201"/>
    </row>
  </sheetData>
  <mergeCells count="68">
    <mergeCell ref="B4:B5"/>
    <mergeCell ref="C4:C5"/>
    <mergeCell ref="D4:D5"/>
    <mergeCell ref="E4:E5"/>
    <mergeCell ref="B6:B7"/>
    <mergeCell ref="C6:C7"/>
    <mergeCell ref="E6:E7"/>
    <mergeCell ref="D6:D7"/>
    <mergeCell ref="B8:B9"/>
    <mergeCell ref="C8:C9"/>
    <mergeCell ref="E8:E9"/>
    <mergeCell ref="B10:B11"/>
    <mergeCell ref="C10:C11"/>
    <mergeCell ref="E10:E11"/>
    <mergeCell ref="D8:D9"/>
    <mergeCell ref="D10:D11"/>
    <mergeCell ref="B12:B13"/>
    <mergeCell ref="C12:C13"/>
    <mergeCell ref="E12:E13"/>
    <mergeCell ref="B14:B15"/>
    <mergeCell ref="C14:C15"/>
    <mergeCell ref="E14:E15"/>
    <mergeCell ref="D12:D13"/>
    <mergeCell ref="D14:D15"/>
    <mergeCell ref="B16:B17"/>
    <mergeCell ref="C16:C17"/>
    <mergeCell ref="E16:E17"/>
    <mergeCell ref="B18:B19"/>
    <mergeCell ref="C18:C19"/>
    <mergeCell ref="E18:E19"/>
    <mergeCell ref="D16:D17"/>
    <mergeCell ref="D18:D19"/>
    <mergeCell ref="B20:B21"/>
    <mergeCell ref="C20:C21"/>
    <mergeCell ref="E20:E21"/>
    <mergeCell ref="B22:B23"/>
    <mergeCell ref="C22:C23"/>
    <mergeCell ref="E22:E23"/>
    <mergeCell ref="D20:D21"/>
    <mergeCell ref="D22:D23"/>
    <mergeCell ref="B24:B25"/>
    <mergeCell ref="C24:C25"/>
    <mergeCell ref="E24:E25"/>
    <mergeCell ref="B26:B27"/>
    <mergeCell ref="C26:C27"/>
    <mergeCell ref="E26:E27"/>
    <mergeCell ref="D24:D25"/>
    <mergeCell ref="D26:D27"/>
    <mergeCell ref="B28:B29"/>
    <mergeCell ref="C28:C29"/>
    <mergeCell ref="E28:E29"/>
    <mergeCell ref="B30:B31"/>
    <mergeCell ref="C30:C31"/>
    <mergeCell ref="E30:E31"/>
    <mergeCell ref="D28:D29"/>
    <mergeCell ref="D30:D31"/>
    <mergeCell ref="B36:B37"/>
    <mergeCell ref="C36:C37"/>
    <mergeCell ref="E36:E37"/>
    <mergeCell ref="B32:B33"/>
    <mergeCell ref="C32:C33"/>
    <mergeCell ref="E32:E33"/>
    <mergeCell ref="B34:B35"/>
    <mergeCell ref="C34:C35"/>
    <mergeCell ref="E34:E35"/>
    <mergeCell ref="D32:D33"/>
    <mergeCell ref="D34:D35"/>
    <mergeCell ref="D36:D37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bac</vt:lpstr>
      <vt:lpstr>n°bon</vt:lpstr>
      <vt:lpstr>4am</vt:lpstr>
      <vt:lpstr>3AM</vt:lpstr>
      <vt:lpstr>2AM</vt:lpstr>
      <vt:lpstr>5ap</vt:lpstr>
      <vt:lpstr>3AP</vt:lpstr>
      <vt:lpstr>دورات 4و5ابتدائي</vt:lpstr>
      <vt:lpstr>4ap</vt:lpstr>
      <vt:lpstr>FORMATION SEP </vt:lpstr>
      <vt:lpstr>ecole </vt:lpstr>
      <vt:lpstr>amphi</vt:lpstr>
      <vt:lpstr>R7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2026-09-17T16:02:27Z</cp:lastPrinted>
  <dcterms:created xsi:type="dcterms:W3CDTF">2015-06-05T18:19:34Z</dcterms:created>
  <dcterms:modified xsi:type="dcterms:W3CDTF">2026-09-19T13:55:22Z</dcterms:modified>
</cp:coreProperties>
</file>