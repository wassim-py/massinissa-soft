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wassi\OneDrive\Bureau\massinissa-school-software\data\"/>
    </mc:Choice>
  </mc:AlternateContent>
  <xr:revisionPtr revIDLastSave="0" documentId="13_ncr:1_{EFB5B141-35BA-41F7-9982-B476E46E8286}" xr6:coauthVersionLast="47" xr6:coauthVersionMax="47" xr10:uidLastSave="{00000000-0000-0000-0000-000000000000}"/>
  <bookViews>
    <workbookView xWindow="-120" yWindow="16080" windowWidth="29040" windowHeight="8490" firstSheet="1" activeTab="8" xr2:uid="{00000000-000D-0000-FFFF-FFFF00000000}"/>
  </bookViews>
  <sheets>
    <sheet name="n°bon" sheetId="2" r:id="rId1"/>
    <sheet name="2AS+AG" sheetId="19" r:id="rId2"/>
    <sheet name="4am" sheetId="4" r:id="rId3"/>
    <sheet name="bac" sheetId="1" r:id="rId4"/>
    <sheet name="3AM" sheetId="11" r:id="rId5"/>
    <sheet name="2AM" sheetId="12" r:id="rId6"/>
    <sheet name="1AM" sheetId="15" r:id="rId7"/>
    <sheet name="5ap" sheetId="3" r:id="rId8"/>
    <sheet name="3AP" sheetId="13" r:id="rId9"/>
    <sheet name="دورات 4و5ابتدائي" sheetId="6" r:id="rId10"/>
    <sheet name="4ap" sheetId="14" r:id="rId11"/>
    <sheet name="حصص فردية" sheetId="17" r:id="rId12"/>
    <sheet name="FORMATION SEP " sheetId="5" r:id="rId13"/>
    <sheet name="project engl" sheetId="16" r:id="rId14"/>
    <sheet name="ecole " sheetId="8" r:id="rId15"/>
    <sheet name="amphi" sheetId="9" r:id="rId16"/>
    <sheet name="R7" sheetId="10" r:id="rId17"/>
    <sheet name="one to one" sheetId="20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7" i="5" l="1"/>
  <c r="K127" i="5"/>
  <c r="J127" i="5"/>
  <c r="G128" i="5"/>
  <c r="E128" i="5"/>
  <c r="D128" i="5"/>
  <c r="E40" i="5" l="1"/>
  <c r="F83" i="5"/>
  <c r="E83" i="5"/>
  <c r="D83" i="5"/>
  <c r="M84" i="5"/>
  <c r="K84" i="5"/>
  <c r="J84" i="5"/>
  <c r="V86" i="5"/>
  <c r="U86" i="5"/>
  <c r="T86" i="5"/>
  <c r="K40" i="5"/>
  <c r="U40" i="5" l="1"/>
  <c r="V40" i="5"/>
  <c r="T40" i="5"/>
  <c r="M40" i="5"/>
  <c r="J40" i="5"/>
  <c r="F40" i="5"/>
  <c r="D40" i="5"/>
</calcChain>
</file>

<file path=xl/sharedStrings.xml><?xml version="1.0" encoding="utf-8"?>
<sst xmlns="http://schemas.openxmlformats.org/spreadsheetml/2006/main" count="2431" uniqueCount="1062">
  <si>
    <t>الاسم واللقب</t>
  </si>
  <si>
    <t>رقم الهاتف</t>
  </si>
  <si>
    <t>حقوق التسجيل</t>
  </si>
  <si>
    <t>الشهر 01</t>
  </si>
  <si>
    <t>الشهر 02</t>
  </si>
  <si>
    <t>الشهر 03</t>
  </si>
  <si>
    <t>الشهر 04</t>
  </si>
  <si>
    <t>الشهر 05</t>
  </si>
  <si>
    <t>الشهر 06</t>
  </si>
  <si>
    <t>الشهر 07</t>
  </si>
  <si>
    <t>الشهر 08</t>
  </si>
  <si>
    <t>الشهر 09</t>
  </si>
  <si>
    <t>الشهر 10</t>
  </si>
  <si>
    <t>الشهر 11</t>
  </si>
  <si>
    <t>الشهر 12</t>
  </si>
  <si>
    <t>تركي محمد</t>
  </si>
  <si>
    <t>BON 02/ecole(03/08/2026)</t>
  </si>
  <si>
    <t>بن مرخي دعاء</t>
  </si>
  <si>
    <t>05 61 91 95 99</t>
  </si>
  <si>
    <t>BON 01(03/08/2026)</t>
  </si>
  <si>
    <t>كحال /علوم</t>
  </si>
  <si>
    <t>ميرود رامي</t>
  </si>
  <si>
    <t>07 79 94 52 72</t>
  </si>
  <si>
    <t>فراجة هيام</t>
  </si>
  <si>
    <t>07 71 54 82 83</t>
  </si>
  <si>
    <t>BON 03(04/08/2026)</t>
  </si>
  <si>
    <t>محروق أحمد</t>
  </si>
  <si>
    <t>05 54 54 03 86</t>
  </si>
  <si>
    <t>BON 04(04/08/2026)</t>
  </si>
  <si>
    <t>بولكحل لجين</t>
  </si>
  <si>
    <t>07 97 45 60 34</t>
  </si>
  <si>
    <t>BON 05(05/08/2026)</t>
  </si>
  <si>
    <t>قلقول  /محاسبة</t>
  </si>
  <si>
    <t>بوعليطة مصعب</t>
  </si>
  <si>
    <t>BON 06(06/08/2026)</t>
  </si>
  <si>
    <t xml:space="preserve"> 05 63 38 41 13 / 05 42 43 08 32</t>
  </si>
  <si>
    <t>مصباح رائد</t>
  </si>
  <si>
    <t>07 99 68 90 05</t>
  </si>
  <si>
    <t>هدواس لجين</t>
  </si>
  <si>
    <t>BON 10(06/08/2026)</t>
  </si>
  <si>
    <t>06 66 99 77 72 / 06 76 98 70 37</t>
  </si>
  <si>
    <t>بهناس ميار</t>
  </si>
  <si>
    <t>07 83 32 14 80</t>
  </si>
  <si>
    <t>BON 13(11/08/2026)</t>
  </si>
  <si>
    <t>رقراج آية</t>
  </si>
  <si>
    <t>05 59 46 64 29</t>
  </si>
  <si>
    <t>BON 14(11/08/2026)</t>
  </si>
  <si>
    <t>اريدير يوسف</t>
  </si>
  <si>
    <t>BON 15(12/08/2026)</t>
  </si>
  <si>
    <t>05 50 04 13 80/07 95 78 17 51</t>
  </si>
  <si>
    <t>بروة يحي جاد</t>
  </si>
  <si>
    <t>BON 16(12/08/2026)</t>
  </si>
  <si>
    <t>عيساوي اسراء</t>
  </si>
  <si>
    <t>BON11(16/08/2026)</t>
  </si>
  <si>
    <t>05 60 93 58 55</t>
  </si>
  <si>
    <t>3as</t>
  </si>
  <si>
    <t>نموشي /رياضيات</t>
  </si>
  <si>
    <t>نموشي /عربية</t>
  </si>
  <si>
    <t>بن عزوز /فرنسية</t>
  </si>
  <si>
    <t>مروة /انجليزية</t>
  </si>
  <si>
    <t>الكنز لجين</t>
  </si>
  <si>
    <t>06 60 51 31 68</t>
  </si>
  <si>
    <t>BON 01(17/08/2026)</t>
  </si>
  <si>
    <t>5ap</t>
  </si>
  <si>
    <t>عميرش /رياضيات فوج 01</t>
  </si>
  <si>
    <t>بوبكر مهدي</t>
  </si>
  <si>
    <t>06 55 90 67 41</t>
  </si>
  <si>
    <t>BON 01(16/08/2026)</t>
  </si>
  <si>
    <t>عميرش /رياضيات فوج 02</t>
  </si>
  <si>
    <t>بوخزر/انجليزية فوج 01</t>
  </si>
  <si>
    <t>بوخزر/انجليزية فوج 02</t>
  </si>
  <si>
    <t>لعروسي/فرنسية فوج 01</t>
  </si>
  <si>
    <t>4am</t>
  </si>
  <si>
    <t>مطبوعات ف01</t>
  </si>
  <si>
    <t>مطبوعات ف02</t>
  </si>
  <si>
    <t>مطبوعات ف03</t>
  </si>
  <si>
    <t>نعيجة جيهان</t>
  </si>
  <si>
    <t>06 59 23 22 15/06 61 15 74 25</t>
  </si>
  <si>
    <t>BON 26/amphi(04/08/2026)</t>
  </si>
  <si>
    <t>بوثلجة رحاب</t>
  </si>
  <si>
    <t>06 61 31 56 33</t>
  </si>
  <si>
    <t>عروم سامي</t>
  </si>
  <si>
    <t>06 57 63 42 15 / 07 71 24 54 20</t>
  </si>
  <si>
    <t>عويدي سرين هديل</t>
  </si>
  <si>
    <t>07 94 92 17 57</t>
  </si>
  <si>
    <t>بلخيري مروة + صفاء</t>
  </si>
  <si>
    <t>06 71 62 70 52</t>
  </si>
  <si>
    <t>BON 45/ecole(11/08/2026)</t>
  </si>
  <si>
    <t>BON 71/ecole(20/08/2026)</t>
  </si>
  <si>
    <t>BON 21/ecole(04/08/2026)</t>
  </si>
  <si>
    <t>BON 60/ecole(17/08/2026)</t>
  </si>
  <si>
    <t>BON 13(24/08/2026)</t>
  </si>
  <si>
    <t>حرز الله عبد المجيب</t>
  </si>
  <si>
    <t>05 40 79 21 49</t>
  </si>
  <si>
    <t>BON 14(24/08/2026)</t>
  </si>
  <si>
    <t>BON 15(25/08/2026)</t>
  </si>
  <si>
    <t>بحشاشي عبد الرحمان</t>
  </si>
  <si>
    <t>07 70 38 36 02</t>
  </si>
  <si>
    <t>جباسي محمد يونس</t>
  </si>
  <si>
    <t>فقير زكرياء</t>
  </si>
  <si>
    <t>BON 16(25/08/2026)</t>
  </si>
  <si>
    <t>دولة أريج</t>
  </si>
  <si>
    <t>BON 18(26/08/2026)</t>
  </si>
  <si>
    <t>العرباوي ايناس</t>
  </si>
  <si>
    <t>BON 19(26/08/2026)</t>
  </si>
  <si>
    <t>BON 20(27/08/2026)</t>
  </si>
  <si>
    <t>3000+7000</t>
  </si>
  <si>
    <t>BON79/ecole+21(23+28/08/2026)</t>
  </si>
  <si>
    <t>BON 21(28/08/2026)</t>
  </si>
  <si>
    <t>3000+12000</t>
  </si>
  <si>
    <t>BON 21/ecole+22+28(04/08/2026)</t>
  </si>
  <si>
    <t>بلمرابط معتصم بالله</t>
  </si>
  <si>
    <t>BON25 (31/08/2026)</t>
  </si>
  <si>
    <t>معمري رتاج</t>
  </si>
  <si>
    <t>0654 80 71 29 / 0674 80 81 98</t>
  </si>
  <si>
    <t>بن داود سيرين</t>
  </si>
  <si>
    <t>0773 18 64 74</t>
  </si>
  <si>
    <t>BON+ECL 48(29/08/2026)</t>
  </si>
  <si>
    <t xml:space="preserve"> هندسة ميكانيك /بوزيد</t>
  </si>
  <si>
    <t xml:space="preserve">بن مهريز /أدبي /انجليزية </t>
  </si>
  <si>
    <t>0668 54 68 81</t>
  </si>
  <si>
    <t>BON 26(02/09/2026)</t>
  </si>
  <si>
    <t>وجدان /علمي/ انجليزية</t>
  </si>
  <si>
    <t>بن شعبان محمد امين</t>
  </si>
  <si>
    <t>BON 27(03/09/2026)</t>
  </si>
  <si>
    <t>BON 29(03/09/2026)</t>
  </si>
  <si>
    <t>حموي /فوج خاص/ فيزياء/علمي و تقني رياضي</t>
  </si>
  <si>
    <t>BON 30(04/09/2026)</t>
  </si>
  <si>
    <t>bon31(04/09/2026)</t>
  </si>
  <si>
    <t>BON32(04/09/2026)</t>
  </si>
  <si>
    <t>BON33 (04/09/2026)</t>
  </si>
  <si>
    <t>عناني عبد الرؤوف</t>
  </si>
  <si>
    <t>BON34 (04/09/2026)</t>
  </si>
  <si>
    <t>bon 35 (04/09/2026)</t>
  </si>
  <si>
    <t>بوصلان معاد</t>
  </si>
  <si>
    <t>BON36 (04/09/2026)</t>
  </si>
  <si>
    <t>نكاع فرح</t>
  </si>
  <si>
    <t>BON 37 (04/09/2026)</t>
  </si>
  <si>
    <t>BON38 (04/09/2026)</t>
  </si>
  <si>
    <t>BON39 (04/09/2026)</t>
  </si>
  <si>
    <t>BON 02+38(03/08/2026)+(04/09/2026)</t>
  </si>
  <si>
    <t>1000+1500</t>
  </si>
  <si>
    <t>بن مشير فؤاد</t>
  </si>
  <si>
    <t xml:space="preserve">مشيروف سيرين نورهان </t>
  </si>
  <si>
    <t>BON40(04/09/2026)</t>
  </si>
  <si>
    <t>NOM</t>
  </si>
  <si>
    <t>FI</t>
  </si>
  <si>
    <t>livres</t>
  </si>
  <si>
    <t>F NV</t>
  </si>
  <si>
    <t>المجموع</t>
  </si>
  <si>
    <t>BON42(05/09/2026)</t>
  </si>
  <si>
    <t>BON43 (05/09/2026)</t>
  </si>
  <si>
    <t>فردي رياضيات ش/تسيير</t>
  </si>
  <si>
    <t>معيدوش أمين</t>
  </si>
  <si>
    <t>06 67 09 15 80</t>
  </si>
  <si>
    <t>ثعبان انس عبدالله</t>
  </si>
  <si>
    <t>دزيري يحي</t>
  </si>
  <si>
    <t>0656 49 84 95</t>
  </si>
  <si>
    <t xml:space="preserve">بهاز كوثر </t>
  </si>
  <si>
    <t>06 64930043</t>
  </si>
  <si>
    <t>BON45 (07/09/2026)</t>
  </si>
  <si>
    <t>قسوم /اسبانية/ادبي</t>
  </si>
  <si>
    <t>ميري نورهان</t>
  </si>
  <si>
    <t>علام رتاج</t>
  </si>
  <si>
    <t>BON46 (07/09/2026)</t>
  </si>
  <si>
    <t>مهدي شريف محمد</t>
  </si>
  <si>
    <t>05 60086057</t>
  </si>
  <si>
    <t>BON47(07/09/2026)</t>
  </si>
  <si>
    <t>BON48(07/09/2026)</t>
  </si>
  <si>
    <t>مشهراوي ياسين</t>
  </si>
  <si>
    <t>BON49(07/09/2026)</t>
  </si>
  <si>
    <t>BON50(07/09/2026)</t>
  </si>
  <si>
    <t>عكاشة عبد المؤمن</t>
  </si>
  <si>
    <t>BON51(07/09/2026)</t>
  </si>
  <si>
    <t>versment 2000</t>
  </si>
  <si>
    <t>نموشي /عربية+رياضيات  5AP</t>
  </si>
  <si>
    <t>بومحراث جينان</t>
  </si>
  <si>
    <t>05 50969260</t>
  </si>
  <si>
    <t>bon01(05/09/2026)</t>
  </si>
  <si>
    <t xml:space="preserve">     prix</t>
  </si>
  <si>
    <t>دورة مراجعة</t>
  </si>
  <si>
    <t xml:space="preserve">بو الحوت امجد </t>
  </si>
  <si>
    <t>06 56251240</t>
  </si>
  <si>
    <t>BON02(07/09/2026)</t>
  </si>
  <si>
    <t xml:space="preserve">يزيد خليل </t>
  </si>
  <si>
    <t>07 82863088</t>
  </si>
  <si>
    <t>BON03(07/09/2026)</t>
  </si>
  <si>
    <t>بوضرسة ساجد</t>
  </si>
  <si>
    <t>BON04(08/09/2026)</t>
  </si>
  <si>
    <t>بلزرت يوسف</t>
  </si>
  <si>
    <t>06 96522648</t>
  </si>
  <si>
    <t>BON05(08/09/2026)</t>
  </si>
  <si>
    <t>غولة ميراس</t>
  </si>
  <si>
    <t>07 99776980</t>
  </si>
  <si>
    <t>BON06(08/09/2026)</t>
  </si>
  <si>
    <t>غربي جنى</t>
  </si>
  <si>
    <t>05 40749932</t>
  </si>
  <si>
    <t>BON07(08/09/2026)</t>
  </si>
  <si>
    <t>مشارة يوسف</t>
  </si>
  <si>
    <t>BON09(08/09/2026)</t>
  </si>
  <si>
    <t>05 58497503</t>
  </si>
  <si>
    <t>نموشي /عربية+رياضيات  4AP</t>
  </si>
  <si>
    <t>حركات تيم</t>
  </si>
  <si>
    <t>05 51915327</t>
  </si>
  <si>
    <t>BON10(08/09/2026)</t>
  </si>
  <si>
    <t>حيمد امير</t>
  </si>
  <si>
    <t>BON 52(07/09/2026)</t>
  </si>
  <si>
    <t>بوبكر عبد الرحمان</t>
  </si>
  <si>
    <t>BON53(07/09/2026)</t>
  </si>
  <si>
    <t>بوحلاسة مجيب الرحمان</t>
  </si>
  <si>
    <t>BON54 (07/09/2026)</t>
  </si>
  <si>
    <t>كشتولي محمد أرسلان</t>
  </si>
  <si>
    <t>06 71757393</t>
  </si>
  <si>
    <t>BON55(09/09/2026)</t>
  </si>
  <si>
    <t>BON56(09/09/2026)</t>
  </si>
  <si>
    <t xml:space="preserve">طيار فيزياء </t>
  </si>
  <si>
    <t>مالو/رياضيات</t>
  </si>
  <si>
    <t>دحدوح /عربية</t>
  </si>
  <si>
    <t>الاسم و اللقب</t>
  </si>
  <si>
    <t>حمادي سجود</t>
  </si>
  <si>
    <t>قلي محمد</t>
  </si>
  <si>
    <t>06 60704265</t>
  </si>
  <si>
    <t>BON12(10/09/2026)</t>
  </si>
  <si>
    <t>3حصص 900</t>
  </si>
  <si>
    <t>BON13 (10/09/2026)</t>
  </si>
  <si>
    <t>صنهاجي فادي</t>
  </si>
  <si>
    <t>06 60077300</t>
  </si>
  <si>
    <t>BON03(02/09/2026)</t>
  </si>
  <si>
    <t>ديلمي عماد الدين</t>
  </si>
  <si>
    <t xml:space="preserve">يزيد أسامة </t>
  </si>
  <si>
    <t>BON05(07/09/2026)</t>
  </si>
  <si>
    <t>يزيد أسامة</t>
  </si>
  <si>
    <t xml:space="preserve">لعلوي جاد </t>
  </si>
  <si>
    <t>06 61937467</t>
  </si>
  <si>
    <t>BON06 (08/09/2026)</t>
  </si>
  <si>
    <t>بن قلي اميرة لجين</t>
  </si>
  <si>
    <t>07 73545672</t>
  </si>
  <si>
    <t>BON08 (09/09/2026)</t>
  </si>
  <si>
    <t>حواس ريماس</t>
  </si>
  <si>
    <t>06 60378850</t>
  </si>
  <si>
    <t>BON09(10/09/2026)</t>
  </si>
  <si>
    <t>BON10 (10/09/2026)</t>
  </si>
  <si>
    <t>دباح لجين</t>
  </si>
  <si>
    <t>06 56556336</t>
  </si>
  <si>
    <t>BON11 (10/09/2026)</t>
  </si>
  <si>
    <t>حركات سراج</t>
  </si>
  <si>
    <t>BON02 (23/08/2026)</t>
  </si>
  <si>
    <t>BON04 (07/09/2026)</t>
  </si>
  <si>
    <t>بليلي ميار</t>
  </si>
  <si>
    <t>06 98461412</t>
  </si>
  <si>
    <t>BON59 (10/09/2026)</t>
  </si>
  <si>
    <t>BON15(06/09/2026)</t>
  </si>
  <si>
    <t>قاسمي رنيم</t>
  </si>
  <si>
    <t>06 56294981</t>
  </si>
  <si>
    <t>BON60 (10/09/2026)</t>
  </si>
  <si>
    <t>حمايزية فراس</t>
  </si>
  <si>
    <t>BON61 (11/08/2026)</t>
  </si>
  <si>
    <t xml:space="preserve">يخلف  اينجي </t>
  </si>
  <si>
    <t>05 41530702</t>
  </si>
  <si>
    <t>BON62 (11/09/2026)</t>
  </si>
  <si>
    <t>BON ECL104(31/08/2026)+BON63 (12/09/2026)</t>
  </si>
  <si>
    <t>BON 64(12/09/2026)</t>
  </si>
  <si>
    <t>BON 65(12/09/2026)</t>
  </si>
  <si>
    <t>هاشمي محمد</t>
  </si>
  <si>
    <t>BON14 (12/09/2026)</t>
  </si>
  <si>
    <t>BON11(10/09/2026)</t>
  </si>
  <si>
    <t>مادة 4 حقوق تسجيل مجانية</t>
  </si>
  <si>
    <t>شلبي عبد الحميد</t>
  </si>
  <si>
    <t>BON13 (12/09/2026)</t>
  </si>
  <si>
    <t>05 58560055/05 52684847</t>
  </si>
  <si>
    <t>عرافة رشا سعيدة</t>
  </si>
  <si>
    <t>05 59323725</t>
  </si>
  <si>
    <t>عرافةرشا سعيدة</t>
  </si>
  <si>
    <t xml:space="preserve">بلحي ريماس  </t>
  </si>
  <si>
    <t>BON15 (12/09/2026)</t>
  </si>
  <si>
    <t>تواتي معاد</t>
  </si>
  <si>
    <t>BON16 (12/09/2026)</t>
  </si>
  <si>
    <t>بركان بهاء الدين</t>
  </si>
  <si>
    <t>telephone</t>
  </si>
  <si>
    <t>05 56702236</t>
  </si>
  <si>
    <t>BON01 (31/08/2026)</t>
  </si>
  <si>
    <t xml:space="preserve">بيدي احمد </t>
  </si>
  <si>
    <t>06 57163791</t>
  </si>
  <si>
    <t>BON02 (31/08/2026)</t>
  </si>
  <si>
    <t>جاب الله ايمان</t>
  </si>
  <si>
    <t>07 77828115</t>
  </si>
  <si>
    <t>BON03 (03/09/2026)</t>
  </si>
  <si>
    <t>العزوني محمد وسيم</t>
  </si>
  <si>
    <t>BON04 (03/09/2026)</t>
  </si>
  <si>
    <t>رحيوي ياسمين</t>
  </si>
  <si>
    <t>BON05 (05/09/2026)</t>
  </si>
  <si>
    <t>نور الايمان رحماني</t>
  </si>
  <si>
    <t>BON06 (06/09/2026)</t>
  </si>
  <si>
    <t>معمري سيرين</t>
  </si>
  <si>
    <t>BON07 (06/09/2026)</t>
  </si>
  <si>
    <t xml:space="preserve">بوعكاز فراس </t>
  </si>
  <si>
    <t>07 83431174</t>
  </si>
  <si>
    <t>BON08 (06/09/2026)</t>
  </si>
  <si>
    <t>ماضي نور الدين</t>
  </si>
  <si>
    <t xml:space="preserve">07 79280364 </t>
  </si>
  <si>
    <t>BON09 (06/09/2026)</t>
  </si>
  <si>
    <t xml:space="preserve">عايب تقوى </t>
  </si>
  <si>
    <t>06 98 072304</t>
  </si>
  <si>
    <t>BON10 (06/09/2026)</t>
  </si>
  <si>
    <t xml:space="preserve">عايب ابتهال </t>
  </si>
  <si>
    <t>BON11 (06/09/2026)</t>
  </si>
  <si>
    <t xml:space="preserve">بوضرسة سلسبيل </t>
  </si>
  <si>
    <t>BON12 (06/09/2026)</t>
  </si>
  <si>
    <t>بن معاوية احمد</t>
  </si>
  <si>
    <t>07 94076024</t>
  </si>
  <si>
    <t>BON13 (06/09/2026)</t>
  </si>
  <si>
    <t xml:space="preserve">بن معاوية جنى </t>
  </si>
  <si>
    <t>BON14 (06/09/2026)</t>
  </si>
  <si>
    <t xml:space="preserve">سوفي يوسف </t>
  </si>
  <si>
    <t>06 62047194</t>
  </si>
  <si>
    <t>باحيطة رزان</t>
  </si>
  <si>
    <t>07 98941829</t>
  </si>
  <si>
    <t>BON16 (06/09/2026)</t>
  </si>
  <si>
    <t xml:space="preserve">فيلالي عبد المولى </t>
  </si>
  <si>
    <t>07 95585088</t>
  </si>
  <si>
    <t>BON17 (06/09/2026)</t>
  </si>
  <si>
    <t xml:space="preserve">فيلالي بلقيس </t>
  </si>
  <si>
    <t>BON18 (06/09/2026)</t>
  </si>
  <si>
    <t>جاب الله ادم</t>
  </si>
  <si>
    <t>BON19 (08/09/2026)</t>
  </si>
  <si>
    <t>بولمدايس اسيل</t>
  </si>
  <si>
    <t>06 57555404</t>
  </si>
  <si>
    <t>BON20 (08/09/2026)</t>
  </si>
  <si>
    <t xml:space="preserve">بن عثمان سراج </t>
  </si>
  <si>
    <t>05 42249678</t>
  </si>
  <si>
    <t>BON21 (08/09/2026)</t>
  </si>
  <si>
    <t>مطرفي اروى</t>
  </si>
  <si>
    <t>07 70926595</t>
  </si>
  <si>
    <t>BON22 (08/09/2026)</t>
  </si>
  <si>
    <t>قريش ميراس</t>
  </si>
  <si>
    <t>BON23 (08/09/2026)</t>
  </si>
  <si>
    <t>بو الودنين نظال</t>
  </si>
  <si>
    <t>بو الودنين محمد</t>
  </si>
  <si>
    <t>BON24 (10/09/2026)</t>
  </si>
  <si>
    <t>هاشمي فرح ريتاج</t>
  </si>
  <si>
    <t>BON25 (12/09/2026)</t>
  </si>
  <si>
    <t>05 52354958</t>
  </si>
  <si>
    <t>07 92034086</t>
  </si>
  <si>
    <t>07 81570121</t>
  </si>
  <si>
    <t>05 63148908</t>
  </si>
  <si>
    <t>06 98072304</t>
  </si>
  <si>
    <t>PROJECT NIV 01/   SEP -CEM</t>
  </si>
  <si>
    <t>intro NIV 01/   SEP-ADULTE</t>
  </si>
  <si>
    <t>let's GO NIV 01/   SEP-primaire</t>
  </si>
  <si>
    <t>05 64821321</t>
  </si>
  <si>
    <t>07 92777532</t>
  </si>
  <si>
    <t>07 97460083/06 70637797</t>
  </si>
  <si>
    <t>05 60156099</t>
  </si>
  <si>
    <t>07 92924416</t>
  </si>
  <si>
    <t>تبيب ملاك الرحمان</t>
  </si>
  <si>
    <t>06 70 10 46 18</t>
  </si>
  <si>
    <t>BON59/ECOLE (03/09/2026)</t>
  </si>
  <si>
    <t>ثعبان معاد</t>
  </si>
  <si>
    <t>05 56085670</t>
  </si>
  <si>
    <t>BON15 (13/09/2026)</t>
  </si>
  <si>
    <t>حصص 2 /600</t>
  </si>
  <si>
    <t>حقوق الشهر</t>
  </si>
  <si>
    <t>المستوى</t>
  </si>
  <si>
    <t>الأستاذ</t>
  </si>
  <si>
    <t>ملاحظة</t>
  </si>
  <si>
    <t>4AM</t>
  </si>
  <si>
    <t>3AS</t>
  </si>
  <si>
    <t>بن خير الدين ميس</t>
  </si>
  <si>
    <t>BON07 (09/09/2026)</t>
  </si>
  <si>
    <t>بن حراث</t>
  </si>
  <si>
    <t>05 50302803</t>
  </si>
  <si>
    <t>عزوزي بيلسان</t>
  </si>
  <si>
    <t>05 50535356</t>
  </si>
  <si>
    <t>BON12 (11/09/2026)</t>
  </si>
  <si>
    <t>حكوم هداية</t>
  </si>
  <si>
    <t>07 70313832/06 97854472</t>
  </si>
  <si>
    <t>BON17 (13/09/2026)</t>
  </si>
  <si>
    <t>BON57 (09/09/2026)</t>
  </si>
  <si>
    <t>حموي G2</t>
  </si>
  <si>
    <t>07 70143426</t>
  </si>
  <si>
    <t>زغليش شكيب أرسلان</t>
  </si>
  <si>
    <t>زغيلش شكيب ارسلان</t>
  </si>
  <si>
    <t>BON58 (09/09/2026)</t>
  </si>
  <si>
    <t xml:space="preserve">زهراوي </t>
  </si>
  <si>
    <t xml:space="preserve">عبعوب ملاك </t>
  </si>
  <si>
    <t>BON66 (12/09/2026)</t>
  </si>
  <si>
    <t>la date</t>
  </si>
  <si>
    <t>totale</t>
  </si>
  <si>
    <t>fi</t>
  </si>
  <si>
    <t>obs</t>
  </si>
  <si>
    <t>fiha amphi 11000(fi 1000)+ecole 16250 (fi 1750)</t>
  </si>
  <si>
    <t>وافق هيام</t>
  </si>
  <si>
    <t>2AS</t>
  </si>
  <si>
    <t>فلسفة</t>
  </si>
  <si>
    <t xml:space="preserve">صويلح ضحى </t>
  </si>
  <si>
    <t>حموي G1</t>
  </si>
  <si>
    <t>BON01 anex-amphi (06/09/2026)</t>
  </si>
  <si>
    <t>BON02 anex-amphi (06/09/2026)</t>
  </si>
  <si>
    <t>بن عطا الله لجين</t>
  </si>
  <si>
    <t>BON03 anex-amphi (06/09/2026)</t>
  </si>
  <si>
    <t>زهراوي2g</t>
  </si>
  <si>
    <t>يزيد لينا</t>
  </si>
  <si>
    <t>2as</t>
  </si>
  <si>
    <t>BON05 anex-amphi (10/09/2026)</t>
  </si>
  <si>
    <t>BON04 anex-amphi (07/09/2026)</t>
  </si>
  <si>
    <t>BON03 anex-amphi (07/09/2026)</t>
  </si>
  <si>
    <t>زهراوي 1g</t>
  </si>
  <si>
    <t>3AL</t>
  </si>
  <si>
    <t>معزة رمزي</t>
  </si>
  <si>
    <t>BON06 anex-amphi (11/09/2026)</t>
  </si>
  <si>
    <t>حموي G3</t>
  </si>
  <si>
    <t xml:space="preserve">شوقي رغد </t>
  </si>
  <si>
    <t>BON07 anex-amphi (13/09/2026)</t>
  </si>
  <si>
    <t>حملاوي امير معتز</t>
  </si>
  <si>
    <t>BON08 anex-amphi (13/09/2026)</t>
  </si>
  <si>
    <t>لكنز تسنيم</t>
  </si>
  <si>
    <t>BON09 anex-amphi (13/09/2026)</t>
  </si>
  <si>
    <t>مشري لجين</t>
  </si>
  <si>
    <t>BON10 anex-amphi (13/09/2026)</t>
  </si>
  <si>
    <t xml:space="preserve">حموي </t>
  </si>
  <si>
    <t>لخضاري لجين</t>
  </si>
  <si>
    <t>BON11 anex-amphi (14/09/2026)</t>
  </si>
  <si>
    <t>05 51280705</t>
  </si>
  <si>
    <t xml:space="preserve">بن سويبط ملاك </t>
  </si>
  <si>
    <t>BON12 anex-amphi (14/09/2026)</t>
  </si>
  <si>
    <t>3 AS</t>
  </si>
  <si>
    <t>زهراوي 2G</t>
  </si>
  <si>
    <t>07 73649934</t>
  </si>
  <si>
    <t>بوعناقة سيرين</t>
  </si>
  <si>
    <t>BON13 anex-amphi (14/09/2026)</t>
  </si>
  <si>
    <t>بوشامة سارة</t>
  </si>
  <si>
    <t>BON14 anex-amphi (14/09/2026)</t>
  </si>
  <si>
    <t>زهراوي علمي</t>
  </si>
  <si>
    <t>بومحراث إسحاق</t>
  </si>
  <si>
    <t>BON15 anex-amphi (15/09/2026)</t>
  </si>
  <si>
    <t>عيون سهى ملاك</t>
  </si>
  <si>
    <t>BON16 anex-amphi (15/09/2026)</t>
  </si>
  <si>
    <t>سعيودي معاذ</t>
  </si>
  <si>
    <t>BON17 anex-amphi (15/09/2026)</t>
  </si>
  <si>
    <t xml:space="preserve">مصباح مرام </t>
  </si>
  <si>
    <t>BON18 anex-amphi (15/09/2026)</t>
  </si>
  <si>
    <t>BON19 anex-amphi (15/09/2026)</t>
  </si>
  <si>
    <t>بارش بشرى</t>
  </si>
  <si>
    <t>BON20 anex-amphi (15/09/2026)</t>
  </si>
  <si>
    <t>ماي هبة الرحمان</t>
  </si>
  <si>
    <t>BON18 (14/09/2026)</t>
  </si>
  <si>
    <t>07 70573864</t>
  </si>
  <si>
    <t>مخبي ريم</t>
  </si>
  <si>
    <t>كحال/  رياضي</t>
  </si>
  <si>
    <t>BON 58/amphi(09/08/2026)</t>
  </si>
  <si>
    <t>06 96 90 07 56</t>
  </si>
  <si>
    <t>07 92 59 06 45</t>
  </si>
  <si>
    <t>BON63 (12/09/2026)</t>
  </si>
  <si>
    <t xml:space="preserve">علاء الدين قيلهمية </t>
  </si>
  <si>
    <t>05 54541689</t>
  </si>
  <si>
    <t>BON19 (14/09/2026)</t>
  </si>
  <si>
    <t>05 54 54 16 89</t>
  </si>
  <si>
    <t xml:space="preserve">بركات صهيب </t>
  </si>
  <si>
    <t>مشطري امجد</t>
  </si>
  <si>
    <t>BON21 (14/09/2026)</t>
  </si>
  <si>
    <t>BON 20(14/09/2026)</t>
  </si>
  <si>
    <t>BON21(14/09/2026)</t>
  </si>
  <si>
    <t>حقوق مجانية</t>
  </si>
  <si>
    <t>دغي وليد</t>
  </si>
  <si>
    <t>BON22 (15/09/2026)</t>
  </si>
  <si>
    <t xml:space="preserve">دغي وليد </t>
  </si>
  <si>
    <t>BON22 (14/09/2026)</t>
  </si>
  <si>
    <t>BON23 (15/09/2026)</t>
  </si>
  <si>
    <t xml:space="preserve">دكوش  روان </t>
  </si>
  <si>
    <t xml:space="preserve">عاشوري نجية </t>
  </si>
  <si>
    <t>BON25 (15/09/2026)</t>
  </si>
  <si>
    <t xml:space="preserve">زيبوش عبد الغفور </t>
  </si>
  <si>
    <t>BON26(15/09/2026)</t>
  </si>
  <si>
    <t>سطحي مريم</t>
  </si>
  <si>
    <t>BON27(16/09/2026)</t>
  </si>
  <si>
    <t>BON27 (16/09/2026)</t>
  </si>
  <si>
    <t>شوقي رغد مفيد</t>
  </si>
  <si>
    <t>05 51 23 20 84</t>
  </si>
  <si>
    <t>BON67 (13/09/2026)</t>
  </si>
  <si>
    <t xml:space="preserve">حيدوسي الاء </t>
  </si>
  <si>
    <t>BON68 (14/09/2026)</t>
  </si>
  <si>
    <t>بن شفرة دعاء</t>
  </si>
  <si>
    <t xml:space="preserve">بودان سلسبيل </t>
  </si>
  <si>
    <t>BON70 (14/09/2026)</t>
  </si>
  <si>
    <t>BON 71(14/09/2026)</t>
  </si>
  <si>
    <t>بن عيون ملاك</t>
  </si>
  <si>
    <t>BON72 (14/09/2026)</t>
  </si>
  <si>
    <t xml:space="preserve">بوشامة سارة </t>
  </si>
  <si>
    <t>BON73(14/09/2026)</t>
  </si>
  <si>
    <t>خاوة لجين</t>
  </si>
  <si>
    <t>BON74 (15/09/2026)</t>
  </si>
  <si>
    <t>عزيون اياد</t>
  </si>
  <si>
    <t>BON75(15/09/2026)</t>
  </si>
  <si>
    <t>BON99ecl (31/08/2026)</t>
  </si>
  <si>
    <t>BON100ecl (31/08/2026)</t>
  </si>
  <si>
    <t>معافي ملاك</t>
  </si>
  <si>
    <t>BON76(15/09/2026)</t>
  </si>
  <si>
    <t>عبيد جمانة</t>
  </si>
  <si>
    <t>BON77(15/09/2026)</t>
  </si>
  <si>
    <t xml:space="preserve">نوي لجين </t>
  </si>
  <si>
    <t>عربية /ميمون</t>
  </si>
  <si>
    <t>عزوزي أرسلان</t>
  </si>
  <si>
    <t>BON11(11/9/2026)</t>
  </si>
  <si>
    <t>بوخزر/ انجليزية</t>
  </si>
  <si>
    <t>لعروسي /فرنسية</t>
  </si>
  <si>
    <t>كنوة ميرال</t>
  </si>
  <si>
    <t>عيدوسي كريم</t>
  </si>
  <si>
    <t>BON03(17/9/2026)</t>
  </si>
  <si>
    <t>06 55310158/0698685053</t>
  </si>
  <si>
    <t>فوج 1</t>
  </si>
  <si>
    <t xml:space="preserve">فوج1 </t>
  </si>
  <si>
    <t>فوج2</t>
  </si>
  <si>
    <t>بوعبلو</t>
  </si>
  <si>
    <t>1500RMB/12250AMPHI-FI1750/FI ECL 250</t>
  </si>
  <si>
    <t>عميرش /رياضيات</t>
  </si>
  <si>
    <t>دغي وائل</t>
  </si>
  <si>
    <t>BON01(15/09/2026)</t>
  </si>
  <si>
    <t>مجانية</t>
  </si>
  <si>
    <t>فرنسية/بن عزوز</t>
  </si>
  <si>
    <t xml:space="preserve">علاء الدين ديلهمية </t>
  </si>
  <si>
    <t xml:space="preserve">amphi </t>
  </si>
  <si>
    <t xml:space="preserve">زيبوش اشواق </t>
  </si>
  <si>
    <t>BON21 anex-amphi (15/09/2026)</t>
  </si>
  <si>
    <t xml:space="preserve">طراد مريم </t>
  </si>
  <si>
    <t>BON26anex-amphi (16/09/2026)</t>
  </si>
  <si>
    <t xml:space="preserve">مجميع سندس </t>
  </si>
  <si>
    <t>BON27anex-amphi (16/09/2026)</t>
  </si>
  <si>
    <t>زهراوي 1G</t>
  </si>
  <si>
    <t xml:space="preserve">ديابي محمد </t>
  </si>
  <si>
    <t>BON28anex-amphi (16/09/2026)</t>
  </si>
  <si>
    <t>0558789432-</t>
  </si>
  <si>
    <t xml:space="preserve">بن عويرة مقيم </t>
  </si>
  <si>
    <t>BON29anex-amphi (16/09/2026)</t>
  </si>
  <si>
    <t xml:space="preserve">فرنسية /كحال ادبي </t>
  </si>
  <si>
    <t>ecole</t>
  </si>
  <si>
    <t>BON10 (12/09/2026)</t>
  </si>
  <si>
    <t xml:space="preserve">فيزياء </t>
  </si>
  <si>
    <t>0558560055/</t>
  </si>
  <si>
    <t xml:space="preserve">تواتي معاد </t>
  </si>
  <si>
    <t>BON11 (12/09/2026)</t>
  </si>
  <si>
    <t xml:space="preserve">ريام بلقاضي </t>
  </si>
  <si>
    <t>BON12 (12/09/2026)</t>
  </si>
  <si>
    <t xml:space="preserve">لخضاري لجين </t>
  </si>
  <si>
    <t xml:space="preserve">عمير </t>
  </si>
  <si>
    <t>0782239551-</t>
  </si>
  <si>
    <t xml:space="preserve">ندير  </t>
  </si>
  <si>
    <t xml:space="preserve">بلعكروم ملاك </t>
  </si>
  <si>
    <t>BON14 (14/09/2026)</t>
  </si>
  <si>
    <t xml:space="preserve">عمير /علوم </t>
  </si>
  <si>
    <t>0554541534-0560221281-</t>
  </si>
  <si>
    <t xml:space="preserve">بوعناقة سيرين </t>
  </si>
  <si>
    <t>BON15 (14/09/2026)</t>
  </si>
  <si>
    <t xml:space="preserve">كحال علوم </t>
  </si>
  <si>
    <t>0795581400-</t>
  </si>
  <si>
    <t xml:space="preserve">ندير </t>
  </si>
  <si>
    <t>BON16 (14/09/2026)</t>
  </si>
  <si>
    <t xml:space="preserve">بن يحيى </t>
  </si>
  <si>
    <t xml:space="preserve">عربية </t>
  </si>
  <si>
    <t xml:space="preserve">4am </t>
  </si>
  <si>
    <t xml:space="preserve">بوفنش بلقيس </t>
  </si>
  <si>
    <t>BON17 (14/09/2026)</t>
  </si>
  <si>
    <t xml:space="preserve">دراجي </t>
  </si>
  <si>
    <t>0553446270-</t>
  </si>
  <si>
    <t xml:space="preserve">لعكاشي ياسمين </t>
  </si>
  <si>
    <t>BON19 (16/09/2026)</t>
  </si>
  <si>
    <t>BON18 (15/09/2026)</t>
  </si>
  <si>
    <t xml:space="preserve">كينوة ميرال </t>
  </si>
  <si>
    <t>BON20 (16/09/2026)</t>
  </si>
  <si>
    <t>3am</t>
  </si>
  <si>
    <t xml:space="preserve">حراث </t>
  </si>
  <si>
    <t>01فوج</t>
  </si>
  <si>
    <t xml:space="preserve">نايلي يحيى اسلام </t>
  </si>
  <si>
    <t>BON21(17/09/2026)</t>
  </si>
  <si>
    <t>bon 21( 17/09/2026)</t>
  </si>
  <si>
    <t>bon 29( 16/09/2026)</t>
  </si>
  <si>
    <t xml:space="preserve">المجموع </t>
  </si>
  <si>
    <t>fiha ecole 3750 (fi 750)+amphi 15250 ( fi 1250)</t>
  </si>
  <si>
    <r>
      <t>شهر سبتمبر 1</t>
    </r>
    <r>
      <rPr>
        <sz val="14"/>
        <color theme="1"/>
        <rFont val="Calibri"/>
        <family val="2"/>
      </rPr>
      <t>←17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→ECOLE</t>
    </r>
    <r>
      <rPr>
        <sz val="16.8"/>
        <color theme="1"/>
        <rFont val="Arial"/>
        <family val="2"/>
      </rPr>
      <t xml:space="preserve">  </t>
    </r>
  </si>
  <si>
    <t>fiha ecole 1750 (fi 250)+amphi 3250 ( fi 250)</t>
  </si>
  <si>
    <t>BON 02(17/09/2026)</t>
  </si>
  <si>
    <t>BON 02(07/09/2026)</t>
  </si>
  <si>
    <t>يزيد خليل</t>
  </si>
  <si>
    <t>بومحراث جينان مارية</t>
  </si>
  <si>
    <t>BON 04(15/09/2026)</t>
  </si>
  <si>
    <t xml:space="preserve">بلزرق يوسف </t>
  </si>
  <si>
    <t>BON 05(15/09/2026)</t>
  </si>
  <si>
    <t>بوالحوت امجد</t>
  </si>
  <si>
    <t>BON 06(16/09/2026)</t>
  </si>
  <si>
    <t>بوالقرع ميلسا</t>
  </si>
  <si>
    <t>BON 07(18/09/2026)</t>
  </si>
  <si>
    <t>07 70340943/07 74717459</t>
  </si>
  <si>
    <t>BON 08(18/09/2026)</t>
  </si>
  <si>
    <t>BON 09(18/09/2026)</t>
  </si>
  <si>
    <t>BON 10(18/08/2026)</t>
  </si>
  <si>
    <t>BON 10(18/09/2026)</t>
  </si>
  <si>
    <t xml:space="preserve"> مجانية 250</t>
  </si>
  <si>
    <t>BON11(18/09/2026)</t>
  </si>
  <si>
    <t>BON 11(18/09/2026)</t>
  </si>
  <si>
    <t>BON 12(18/09/2026)</t>
  </si>
  <si>
    <t>معمري ميسم</t>
  </si>
  <si>
    <t>BON13(18/09/2026)</t>
  </si>
  <si>
    <t>BON 13(18/09/2026)</t>
  </si>
  <si>
    <t>زغدود مبارك طهى</t>
  </si>
  <si>
    <t>06 70187705/06 58614129</t>
  </si>
  <si>
    <t>BON14(18/09/2026)</t>
  </si>
  <si>
    <t>BON 14(18/09/2026)</t>
  </si>
  <si>
    <t>بوتمرة نهال سيرين</t>
  </si>
  <si>
    <t>BON01amphi(12/09/2026)</t>
  </si>
  <si>
    <t>06 71757393/07 70740964</t>
  </si>
  <si>
    <t xml:space="preserve"> </t>
  </si>
  <si>
    <t>حيمد أمير</t>
  </si>
  <si>
    <t>BON 52/3as(07/09/2026)</t>
  </si>
  <si>
    <t>BON 53/3as(07/09/2026)</t>
  </si>
  <si>
    <t>BON 54/3as(07/09/2026)</t>
  </si>
  <si>
    <t>بغريش رفيدة</t>
  </si>
  <si>
    <t>BON79 (18/09/2026)</t>
  </si>
  <si>
    <t>07 82 74 77 12/06 60 76 07 21</t>
  </si>
  <si>
    <t>غربي قطر الندى</t>
  </si>
  <si>
    <t>BON80 (19/09/2026)</t>
  </si>
  <si>
    <t>BON 117/ecole(02/09/2026)</t>
  </si>
  <si>
    <t>BON 121/ecole(03/09/2026)</t>
  </si>
  <si>
    <t>bon 81( 19/09/2026)</t>
  </si>
  <si>
    <t>BON 69/ecole(19/08/2026)</t>
  </si>
  <si>
    <t>بوعبد الله سرين</t>
  </si>
  <si>
    <t>BON01/ecole (10/09/2026)</t>
  </si>
  <si>
    <t>لكنز لجين</t>
  </si>
  <si>
    <t>BON16(13/09/2026)</t>
  </si>
  <si>
    <t>دورات  ابتدائي</t>
  </si>
  <si>
    <t>bon 16( 13/09/2026)</t>
  </si>
  <si>
    <t>07 72 28 01 56/ 07 97 07 06 61</t>
  </si>
  <si>
    <t>06 55 31 01 58</t>
  </si>
  <si>
    <t>bon 03( 17/09/2026)</t>
  </si>
  <si>
    <t>BON21(18/09/2026)</t>
  </si>
  <si>
    <t>bon 21( 18/09/2026)</t>
  </si>
  <si>
    <t>زردازي عبد الودود</t>
  </si>
  <si>
    <t>BON 01(19/09/2026)</t>
  </si>
  <si>
    <t>4ap</t>
  </si>
  <si>
    <t>bon 01( 19/09/2026)</t>
  </si>
  <si>
    <t>3ap</t>
  </si>
  <si>
    <t>bon 01( 15/09/2026)</t>
  </si>
  <si>
    <t>فهد آيت كالي</t>
  </si>
  <si>
    <t>BON28 (18/09/2026)</t>
  </si>
  <si>
    <r>
      <t>شهر سبتمبر 18</t>
    </r>
    <r>
      <rPr>
        <sz val="14"/>
        <color theme="1"/>
        <rFont val="Calibri"/>
        <family val="2"/>
      </rPr>
      <t>←24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→ECOLE</t>
    </r>
    <r>
      <rPr>
        <sz val="16.8"/>
        <color theme="1"/>
        <rFont val="Arial"/>
        <family val="2"/>
      </rPr>
      <t xml:space="preserve">  </t>
    </r>
  </si>
  <si>
    <t>BON29 (18/09/2026)</t>
  </si>
  <si>
    <t>بن يحي</t>
  </si>
  <si>
    <t>BON30(19/09/2026)</t>
  </si>
  <si>
    <t>bon 30( 19/09/2026)</t>
  </si>
  <si>
    <t>06 61786478</t>
  </si>
  <si>
    <t>BON82 (19/09/2026)</t>
  </si>
  <si>
    <t>خيثر امير</t>
  </si>
  <si>
    <t>05 60399708</t>
  </si>
  <si>
    <t>BON83(19/09/2026)</t>
  </si>
  <si>
    <t>حمادو علاوة</t>
  </si>
  <si>
    <t>07 97511735</t>
  </si>
  <si>
    <t>BON84 (19/09/2026)</t>
  </si>
  <si>
    <t>مروال تقي الدين</t>
  </si>
  <si>
    <t>07 81550271</t>
  </si>
  <si>
    <t>BON85 (19/09/2026)</t>
  </si>
  <si>
    <t>رضوان فلة سجود</t>
  </si>
  <si>
    <t>BON86(20/09/2026)</t>
  </si>
  <si>
    <t>05 54663250/05 59713487</t>
  </si>
  <si>
    <t>amphi(fi250/cours3000)</t>
  </si>
  <si>
    <t>BON87 (20/09/2026)</t>
  </si>
  <si>
    <t>امينة كريس</t>
  </si>
  <si>
    <t>BON88 (20/09/2026)</t>
  </si>
  <si>
    <t>بو الهوشات انيس</t>
  </si>
  <si>
    <r>
      <rPr>
        <sz val="18"/>
        <color theme="1"/>
        <rFont val="Calibri"/>
        <family val="2"/>
        <scheme val="minor"/>
      </rPr>
      <t>شهر سبتمبر 1</t>
    </r>
    <r>
      <rPr>
        <sz val="18"/>
        <color theme="1"/>
        <rFont val="Calibri"/>
        <family val="2"/>
      </rPr>
      <t>←16</t>
    </r>
    <r>
      <rPr>
        <sz val="18"/>
        <color theme="1"/>
        <rFont val="Arial"/>
        <family val="2"/>
      </rPr>
      <t xml:space="preserve">  anex </t>
    </r>
    <r>
      <rPr>
        <sz val="18"/>
        <color theme="1"/>
        <rFont val="Calibri"/>
        <family val="2"/>
      </rPr>
      <t>→amphi</t>
    </r>
    <r>
      <rPr>
        <sz val="16.8"/>
        <color theme="1"/>
        <rFont val="Arial"/>
        <family val="2"/>
      </rPr>
      <t xml:space="preserve">  </t>
    </r>
  </si>
  <si>
    <t>شهر سبتمبر 17←27  anex →amphi</t>
  </si>
  <si>
    <t>عيساني خديجة رتاج</t>
  </si>
  <si>
    <t>BON30 (17/09/2026)</t>
  </si>
  <si>
    <t>زهراوي</t>
  </si>
  <si>
    <t>شوفي لجين</t>
  </si>
  <si>
    <t>BON20 (20/09/2026)</t>
  </si>
  <si>
    <t xml:space="preserve">فهد ايت كاكي </t>
  </si>
  <si>
    <t>BON22 (18/09/2026)</t>
  </si>
  <si>
    <t xml:space="preserve">بن يحي </t>
  </si>
  <si>
    <t>G1</t>
  </si>
  <si>
    <t>ايت سعدي اماني</t>
  </si>
  <si>
    <t>BON21 (21/09/2026)</t>
  </si>
  <si>
    <t>COURS</t>
  </si>
  <si>
    <t>BON23 (21/09/2026)</t>
  </si>
  <si>
    <t>بن يحى</t>
  </si>
  <si>
    <t>بوعافية رقية</t>
  </si>
  <si>
    <t>BON24 (21/09/2026)</t>
  </si>
  <si>
    <t>لين شروانة</t>
  </si>
  <si>
    <t>BON25 (21/09/2026)</t>
  </si>
  <si>
    <t>لعرابة وسيم</t>
  </si>
  <si>
    <t>G2</t>
  </si>
  <si>
    <t>BON26(21/09/2026)</t>
  </si>
  <si>
    <t>BON26 (21/09/2026)</t>
  </si>
  <si>
    <t>BON4AM /29 (18/09/2026)</t>
  </si>
  <si>
    <t xml:space="preserve"> 3 AM</t>
  </si>
  <si>
    <t xml:space="preserve">ايت سعدي اماني </t>
  </si>
  <si>
    <t>06 61926583/05 56151131</t>
  </si>
  <si>
    <t>BON31(21/09/2026)</t>
  </si>
  <si>
    <t>05 60 04 69 35/05 60050270</t>
  </si>
  <si>
    <t>طيار/فيزياء</t>
  </si>
  <si>
    <t>عميرش/رياضيات</t>
  </si>
  <si>
    <t>بوخزر/انجليزية</t>
  </si>
  <si>
    <t>رياضيات/عميرش</t>
  </si>
  <si>
    <t>بن عزوز/فرنسية</t>
  </si>
  <si>
    <t>let's GO NIV 02/   Octobre-primaire</t>
  </si>
  <si>
    <t>intro NIV 02/   octobre-ADULTE</t>
  </si>
  <si>
    <t>PROJECT NIV 02/  octobre-CEM</t>
  </si>
  <si>
    <r>
      <t xml:space="preserve">niv </t>
    </r>
    <r>
      <rPr>
        <b/>
        <sz val="28"/>
        <color rgb="FFFF0000"/>
        <rFont val="Calibri"/>
        <family val="2"/>
        <scheme val="minor"/>
      </rPr>
      <t>02</t>
    </r>
    <r>
      <rPr>
        <b/>
        <sz val="28"/>
        <color theme="1"/>
        <rFont val="Calibri"/>
        <family val="2"/>
        <scheme val="minor"/>
      </rPr>
      <t>octobre</t>
    </r>
  </si>
  <si>
    <r>
      <t xml:space="preserve">niv </t>
    </r>
    <r>
      <rPr>
        <b/>
        <sz val="28"/>
        <color rgb="FFFF0000"/>
        <rFont val="Calibri"/>
        <family val="2"/>
        <scheme val="minor"/>
      </rPr>
      <t>03</t>
    </r>
    <r>
      <rPr>
        <b/>
        <sz val="28"/>
        <color theme="1"/>
        <rFont val="Calibri"/>
        <family val="2"/>
        <scheme val="minor"/>
      </rPr>
      <t>octobre</t>
    </r>
  </si>
  <si>
    <t xml:space="preserve">دبوح رنيم </t>
  </si>
  <si>
    <t>دبوح وردة</t>
  </si>
  <si>
    <t>05 60 017562</t>
  </si>
  <si>
    <t>6 60 017562</t>
  </si>
  <si>
    <r>
      <rPr>
        <b/>
        <sz val="48"/>
        <color rgb="FFFF0000"/>
        <rFont val="Calibri"/>
        <family val="2"/>
        <scheme val="minor"/>
      </rPr>
      <t>PROJECT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4"/>
        <color theme="1"/>
        <rFont val="Calibri"/>
        <family val="2"/>
        <scheme val="minor"/>
      </rPr>
      <t>NIV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0"/>
        <color rgb="FFFF0000"/>
        <rFont val="Calibri"/>
        <family val="2"/>
        <scheme val="minor"/>
      </rPr>
      <t>01</t>
    </r>
    <r>
      <rPr>
        <b/>
        <sz val="20"/>
        <color theme="1"/>
        <rFont val="Calibri"/>
        <family val="2"/>
        <scheme val="minor"/>
      </rPr>
      <t xml:space="preserve">/   </t>
    </r>
    <r>
      <rPr>
        <b/>
        <i/>
        <u/>
        <sz val="22"/>
        <color theme="1"/>
        <rFont val="Calibri"/>
        <family val="2"/>
        <scheme val="minor"/>
      </rPr>
      <t>SEP</t>
    </r>
    <r>
      <rPr>
        <b/>
        <sz val="20"/>
        <color theme="1"/>
        <rFont val="Calibri"/>
        <family val="2"/>
        <scheme val="minor"/>
      </rPr>
      <t xml:space="preserve"> -CEM </t>
    </r>
    <r>
      <rPr>
        <b/>
        <sz val="12"/>
        <color theme="1"/>
        <rFont val="Calibri"/>
        <family val="2"/>
        <scheme val="minor"/>
      </rPr>
      <t>(</t>
    </r>
    <r>
      <rPr>
        <b/>
        <u/>
        <sz val="12"/>
        <color theme="1"/>
        <rFont val="Calibri"/>
        <family val="2"/>
        <scheme val="minor"/>
      </rPr>
      <t>accélérer</t>
    </r>
    <r>
      <rPr>
        <b/>
        <sz val="12"/>
        <color theme="1"/>
        <rFont val="Calibri"/>
        <family val="2"/>
        <scheme val="minor"/>
      </rPr>
      <t>)</t>
    </r>
    <r>
      <rPr>
        <b/>
        <sz val="12"/>
        <color rgb="FFFF0000"/>
        <rFont val="Calibri"/>
        <family val="2"/>
        <scheme val="minor"/>
      </rPr>
      <t>2026-2027</t>
    </r>
  </si>
  <si>
    <r>
      <rPr>
        <b/>
        <sz val="26"/>
        <color rgb="FFFF0000"/>
        <rFont val="Calibri"/>
        <family val="2"/>
        <scheme val="minor"/>
      </rPr>
      <t>PROJECT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4"/>
        <color theme="1"/>
        <rFont val="Calibri"/>
        <family val="2"/>
        <scheme val="minor"/>
      </rPr>
      <t>NIV</t>
    </r>
    <r>
      <rPr>
        <b/>
        <sz val="20"/>
        <color theme="1"/>
        <rFont val="Calibri"/>
        <family val="2"/>
        <scheme val="minor"/>
      </rPr>
      <t xml:space="preserve"> </t>
    </r>
    <r>
      <rPr>
        <b/>
        <sz val="20"/>
        <color rgb="FFFF0000"/>
        <rFont val="Calibri"/>
        <family val="2"/>
        <scheme val="minor"/>
      </rPr>
      <t>01</t>
    </r>
    <r>
      <rPr>
        <b/>
        <sz val="20"/>
        <color theme="1"/>
        <rFont val="Calibri"/>
        <family val="2"/>
        <scheme val="minor"/>
      </rPr>
      <t xml:space="preserve">/  </t>
    </r>
    <r>
      <rPr>
        <b/>
        <i/>
        <u/>
        <sz val="22"/>
        <color theme="1"/>
        <rFont val="Calibri"/>
        <family val="2"/>
        <scheme val="minor"/>
      </rPr>
      <t>octobre</t>
    </r>
    <r>
      <rPr>
        <b/>
        <sz val="20"/>
        <color theme="1"/>
        <rFont val="Calibri"/>
        <family val="2"/>
        <scheme val="minor"/>
      </rPr>
      <t xml:space="preserve"> -CEM</t>
    </r>
  </si>
  <si>
    <t>2026-2027</t>
  </si>
  <si>
    <t>سفير ادم</t>
  </si>
  <si>
    <t>06 64756126/06 99792237</t>
  </si>
  <si>
    <t>بوكرزازة محمد اسلام</t>
  </si>
  <si>
    <t>07 99856516/07 93599187</t>
  </si>
  <si>
    <t>BON33 (22/09/2026)</t>
  </si>
  <si>
    <t>BON035 (22/09/2026)</t>
  </si>
  <si>
    <t>BON34 (22/09/2026)</t>
  </si>
  <si>
    <t>BON034 (22/09/2026)</t>
  </si>
  <si>
    <t>بوعافي براء</t>
  </si>
  <si>
    <t>06 99753989</t>
  </si>
  <si>
    <t>BON 02(22/09/2026)</t>
  </si>
  <si>
    <t>بوعروج لؤي +محمد</t>
  </si>
  <si>
    <t>BON81(19/09/2026)</t>
  </si>
  <si>
    <t>250+250</t>
  </si>
  <si>
    <t>وجدان / لغات و فلسفة</t>
  </si>
  <si>
    <t>كريس امينة</t>
  </si>
  <si>
    <t>BON89(21/09/2026)</t>
  </si>
  <si>
    <t>BON78(15/09/2026)</t>
  </si>
  <si>
    <t>قروط علاء الدين</t>
  </si>
  <si>
    <t>BON90(21/09/2026)</t>
  </si>
  <si>
    <t>مخلوفي نذير</t>
  </si>
  <si>
    <t>BON91(21/09/2026)</t>
  </si>
  <si>
    <t>بلخامسة شيماء</t>
  </si>
  <si>
    <t>BON92(21/09/2026)</t>
  </si>
  <si>
    <t>بوخالفة اسراء</t>
  </si>
  <si>
    <t>BON93(21/09/2026)</t>
  </si>
  <si>
    <t xml:space="preserve">موسلي امياس </t>
  </si>
  <si>
    <t>BON44(05/09/2026)</t>
  </si>
  <si>
    <t>بوشوشة اسلام</t>
  </si>
  <si>
    <t>07 90274634/05 51276642</t>
  </si>
  <si>
    <t>BON36 (22/09/2026)</t>
  </si>
  <si>
    <t>BON35 (22/09/2026)</t>
  </si>
  <si>
    <t>عميرة خديجة</t>
  </si>
  <si>
    <t>شاقور ادم</t>
  </si>
  <si>
    <t>07 70816400/07 90779045</t>
  </si>
  <si>
    <t>بوطغان محمد</t>
  </si>
  <si>
    <t>06 61517892/06 98563456</t>
  </si>
  <si>
    <t>0661 427949</t>
  </si>
  <si>
    <t>06 98922262</t>
  </si>
  <si>
    <t>بورويس محمد اياد</t>
  </si>
  <si>
    <t>BON40 (24/09/2026)</t>
  </si>
  <si>
    <t>BON39 (24/09/2026)</t>
  </si>
  <si>
    <t>BON37 (24/09/2026)</t>
  </si>
  <si>
    <t>BON38 (24/09/2026)</t>
  </si>
  <si>
    <t>عبابسة معتز عبد الرحمان</t>
  </si>
  <si>
    <t>07 94448582</t>
  </si>
  <si>
    <t>BON41 (24/09/2026)</t>
  </si>
  <si>
    <t>BON+48(25/08/2026)</t>
  </si>
  <si>
    <t>بلخامسة حواء</t>
  </si>
  <si>
    <t>BON27(21/09/2026)</t>
  </si>
  <si>
    <t>ندير</t>
  </si>
  <si>
    <t>BON28(21/09/2026)</t>
  </si>
  <si>
    <t>بن ام الجاج يحى شمس الدين</t>
  </si>
  <si>
    <t>BON29(22/09/2026)</t>
  </si>
  <si>
    <t>بن طامة محمد</t>
  </si>
  <si>
    <t>BON30(22/09/2026)</t>
  </si>
  <si>
    <t>BON32 (21/09/2026)</t>
  </si>
  <si>
    <t>زهراوي1</t>
  </si>
  <si>
    <t>بن طوبال لؤي</t>
  </si>
  <si>
    <t>خرفوشي ع, المعز</t>
  </si>
  <si>
    <t>BON02 (07/09/2026)</t>
  </si>
  <si>
    <t>1500+1500</t>
  </si>
  <si>
    <t xml:space="preserve">بن يحى </t>
  </si>
  <si>
    <t>ميمون</t>
  </si>
  <si>
    <t>بيدي وصال أسماء</t>
  </si>
  <si>
    <t>06 59982612</t>
  </si>
  <si>
    <t xml:space="preserve">ساقي اشرف زكرياء </t>
  </si>
  <si>
    <t>BON106 (25/09/2026)</t>
  </si>
  <si>
    <t>طالبي محمد أيوب</t>
  </si>
  <si>
    <t>BON99 (25/09/2026)</t>
  </si>
  <si>
    <t>BON22(24/09/2026)</t>
  </si>
  <si>
    <t>BON24(22/09/2026)</t>
  </si>
  <si>
    <t>شرقي محمد رائد</t>
  </si>
  <si>
    <t>بوحلاس رحمة اميمة</t>
  </si>
  <si>
    <t>BON23(24/09/2026)</t>
  </si>
  <si>
    <t>جعطوط تسنيم</t>
  </si>
  <si>
    <t>BON 24(25/09/2026)</t>
  </si>
  <si>
    <t>BON02(22/092026)</t>
  </si>
  <si>
    <t>بن محمد ياسر</t>
  </si>
  <si>
    <t>BON 03(25/09/2026)</t>
  </si>
  <si>
    <t>BON04(25/092026)</t>
  </si>
  <si>
    <t>حصص فردية</t>
  </si>
  <si>
    <t>السبت</t>
  </si>
  <si>
    <t>الاحد</t>
  </si>
  <si>
    <t>الاثنين</t>
  </si>
  <si>
    <t>الثلاثاء</t>
  </si>
  <si>
    <t>الأربعاء</t>
  </si>
  <si>
    <t>الخميس</t>
  </si>
  <si>
    <t>الجمعة</t>
  </si>
  <si>
    <t>الأيام</t>
  </si>
  <si>
    <t>نموشي</t>
  </si>
  <si>
    <t>مروة</t>
  </si>
  <si>
    <t>بن طامة يحى</t>
  </si>
  <si>
    <t>BON42 (24/09/2026)</t>
  </si>
  <si>
    <t>لعناني عبد النور</t>
  </si>
  <si>
    <t>BON43 (24/09/2026)</t>
  </si>
  <si>
    <t>قلقول</t>
  </si>
  <si>
    <t>خير الدين لجين</t>
  </si>
  <si>
    <t>BON44 (25/09/2026)</t>
  </si>
  <si>
    <t>BON 45(25/08/2026)</t>
  </si>
  <si>
    <t>BON 46(25/09/2026)</t>
  </si>
  <si>
    <t>BON46 (25/09/2026)</t>
  </si>
  <si>
    <t>BON47 (25/09/2026)</t>
  </si>
  <si>
    <t>ومان نيزار</t>
  </si>
  <si>
    <t>05 60908908</t>
  </si>
  <si>
    <t>BON 05(25/09/2026)</t>
  </si>
  <si>
    <t>بيدي ياسمين</t>
  </si>
  <si>
    <t>BON 04(21/09/2026)</t>
  </si>
  <si>
    <t>ربوح رنيم</t>
  </si>
  <si>
    <t>0560 01 75 82 / 0682 01 75 54</t>
  </si>
  <si>
    <t>صحراوي محمد</t>
  </si>
  <si>
    <t>مرابط فيلالي جنى</t>
  </si>
  <si>
    <t>بيدي يحي احمد</t>
  </si>
  <si>
    <t>BON 02(21/09/2026)</t>
  </si>
  <si>
    <t>BON 07(23/09/2026)</t>
  </si>
  <si>
    <t>BON 06(23/09/2026)</t>
  </si>
  <si>
    <t>BON 05(22/09/2026)</t>
  </si>
  <si>
    <t>BON 48(25/09/2026)</t>
  </si>
  <si>
    <t>لعور رفيق</t>
  </si>
  <si>
    <t>BON 49(25/09/2026)</t>
  </si>
  <si>
    <t>BON 35(25/09/2026)</t>
  </si>
  <si>
    <t>حموي</t>
  </si>
  <si>
    <t>0797 25 49 65</t>
  </si>
  <si>
    <r>
      <t>شهر سبتمبر 24</t>
    </r>
    <r>
      <rPr>
        <sz val="14"/>
        <color theme="1"/>
        <rFont val="Calibri"/>
        <family val="2"/>
      </rPr>
      <t>←30</t>
    </r>
    <r>
      <rPr>
        <sz val="16.8"/>
        <color theme="1"/>
        <rFont val="Arial"/>
        <family val="2"/>
      </rPr>
      <t xml:space="preserve">  anex </t>
    </r>
    <r>
      <rPr>
        <sz val="16.8"/>
        <color theme="1"/>
        <rFont val="Calibri"/>
        <family val="2"/>
      </rPr>
      <t>→ECOLE</t>
    </r>
    <r>
      <rPr>
        <sz val="16.8"/>
        <color theme="1"/>
        <rFont val="Arial"/>
        <family val="2"/>
      </rPr>
      <t xml:space="preserve">  </t>
    </r>
  </si>
  <si>
    <t>عاشوري لميس</t>
  </si>
  <si>
    <t>BON 31(25/09/2026)</t>
  </si>
  <si>
    <t>2 ثانوي</t>
  </si>
  <si>
    <t>نذير</t>
  </si>
  <si>
    <t>جعوط لجين</t>
  </si>
  <si>
    <t>BON 26(25/09/2026)</t>
  </si>
  <si>
    <t>كحال /علوم فوج 2</t>
  </si>
  <si>
    <t>بن خديم محمد</t>
  </si>
  <si>
    <t>BON 94(22/09/2026)</t>
  </si>
  <si>
    <t>بن التين يوسف</t>
  </si>
  <si>
    <t>BON 96(24/09/2026)</t>
  </si>
  <si>
    <t>بولمناخر نوفل</t>
  </si>
  <si>
    <t>BON 97(24/09/2026)</t>
  </si>
  <si>
    <t>صويلح عبير</t>
  </si>
  <si>
    <t>BON 98(24/09/2026)</t>
  </si>
  <si>
    <t>BON 100(25/09/2026)</t>
  </si>
  <si>
    <t>BON 101(25/09/2026)</t>
  </si>
  <si>
    <t>BON 102(25/09/2026)</t>
  </si>
  <si>
    <t>BON 103(25/09/2026)</t>
  </si>
  <si>
    <t>BON 104(25/09/2026)</t>
  </si>
  <si>
    <t>BON 105(25/09/2026)</t>
  </si>
  <si>
    <t>BON 50(26/09/2026)</t>
  </si>
  <si>
    <t>بوستة اسراء لجين</t>
  </si>
  <si>
    <t>BON 51(26/09/2026)</t>
  </si>
  <si>
    <t>BON 52(26/09/2026)</t>
  </si>
  <si>
    <t>BON 53(26/09/2026)</t>
  </si>
  <si>
    <t>BON 54(26/09/2026)</t>
  </si>
  <si>
    <t>BON 55(26/09/2026)</t>
  </si>
  <si>
    <t>تليلي دعاء</t>
  </si>
  <si>
    <t>0791 44 05 20/0699 66 11 14</t>
  </si>
  <si>
    <t>BON 26(26/09/2026)</t>
  </si>
  <si>
    <t>عليوة فادي</t>
  </si>
  <si>
    <t>BON 27(26/09/2026)</t>
  </si>
  <si>
    <t>BON 56(26/09/2026)</t>
  </si>
  <si>
    <t>BON 57(26/09/2026)</t>
  </si>
  <si>
    <t>سالمي ندى</t>
  </si>
  <si>
    <t>0698 85 54 07</t>
  </si>
  <si>
    <t>BON 58(26/09/2026)</t>
  </si>
  <si>
    <t>بلخميس ميار</t>
  </si>
  <si>
    <t>0777 21 17 27</t>
  </si>
  <si>
    <t>BON 08(26/09/2026)</t>
  </si>
  <si>
    <t>BON 32(26/09/2026)</t>
  </si>
  <si>
    <t>نذير + علوم كحال</t>
  </si>
  <si>
    <t>0675 71 56 20/0552 30 84 59</t>
  </si>
  <si>
    <t>BON 33(26/09/2026)</t>
  </si>
  <si>
    <t>3 متوسط</t>
  </si>
  <si>
    <t>1 ثانوي</t>
  </si>
  <si>
    <t>BON 36(26/09/2026)</t>
  </si>
  <si>
    <t>سيمود محمد أنور</t>
  </si>
  <si>
    <t>0654 72 55 29/0661 32 55 32</t>
  </si>
  <si>
    <t>BON 107(26/09/2026)</t>
  </si>
  <si>
    <t>0656 49 84 95/0778 36 09 28</t>
  </si>
  <si>
    <t>BON 108(26/09/2026)</t>
  </si>
  <si>
    <t xml:space="preserve"> 2650+350</t>
  </si>
  <si>
    <t>BON87+109 (20+26/09/2026)</t>
  </si>
  <si>
    <t>BON 07+33(06/08/2026)+(04/09/2026)</t>
  </si>
  <si>
    <t>عرباوي عبد الرؤوف</t>
  </si>
  <si>
    <t>0556 29 83 21</t>
  </si>
  <si>
    <t>BON 110(26/09/2026)</t>
  </si>
  <si>
    <t>محفوف هيثم</t>
  </si>
  <si>
    <t>BON 111(26/09/2026)</t>
  </si>
  <si>
    <t>بن سديرة ريتاج</t>
  </si>
  <si>
    <t>BON 112(26/09/2026)</t>
  </si>
  <si>
    <t>حوي جابر نور الدين</t>
  </si>
  <si>
    <t>BON 113(26/09/2026)</t>
  </si>
  <si>
    <t>0770 21 27 22</t>
  </si>
  <si>
    <t>0676 09 02 97</t>
  </si>
  <si>
    <t>0659 89 04 73/0697 34 99 73</t>
  </si>
  <si>
    <t>BON+02(16/08/2026)</t>
  </si>
  <si>
    <t>كعبوش ايسال</t>
  </si>
  <si>
    <t>BON02(21/09/2026)</t>
  </si>
  <si>
    <t>BON 01(24/09/2026)</t>
  </si>
  <si>
    <t>عمير</t>
  </si>
  <si>
    <t>زهار اية الرحمان</t>
  </si>
  <si>
    <t xml:space="preserve">قلقول </t>
  </si>
  <si>
    <t>BON 2AS</t>
  </si>
  <si>
    <t>BON 02(24/09/2026)</t>
  </si>
  <si>
    <t>2AG</t>
  </si>
  <si>
    <t>BON 2AG ANNX</t>
  </si>
  <si>
    <t>فردي /رياضيات /علمي</t>
  </si>
  <si>
    <t>خنيو لجين</t>
  </si>
  <si>
    <t>بن يحى/فوج 01</t>
  </si>
  <si>
    <t>تيقرين ايلين</t>
  </si>
  <si>
    <t>BON09(27/09/2026)</t>
  </si>
  <si>
    <t>06 70131032/06 96693976</t>
  </si>
  <si>
    <t>BON02(27/09/2026)</t>
  </si>
  <si>
    <t>3AM</t>
  </si>
  <si>
    <t>جعوط تسنيم</t>
  </si>
  <si>
    <t>بوسالم اميمة</t>
  </si>
  <si>
    <t>0655 62 97 77/0542 28 06 36</t>
  </si>
  <si>
    <t>BON 114(27/09/2026)</t>
  </si>
  <si>
    <t>دنش رميساء</t>
  </si>
  <si>
    <t>BON 34(26/09/2026)</t>
  </si>
  <si>
    <t>0759 58 75 65</t>
  </si>
  <si>
    <t>BON 35(27/09/2026)</t>
  </si>
  <si>
    <t>بن شريف رستم</t>
  </si>
  <si>
    <t>BON 36(27/09/2026)</t>
  </si>
  <si>
    <t>علوم كحال</t>
  </si>
  <si>
    <t>0549 75 84 01/0560 95 59 81</t>
  </si>
  <si>
    <t>طبوش شهد</t>
  </si>
  <si>
    <t>BON 37(27/09/2026)</t>
  </si>
  <si>
    <t>بوعروج نسرين</t>
  </si>
  <si>
    <t>0774 02 51 83/0661 16 03 30</t>
  </si>
  <si>
    <t>BON 10(27/09/2026)</t>
  </si>
  <si>
    <t>فلياشي معتصم بالله</t>
  </si>
  <si>
    <t>3 ثانوي</t>
  </si>
  <si>
    <t>حموي فوج 3</t>
  </si>
  <si>
    <t>1500 تاع كتابات في نفس لبون</t>
  </si>
  <si>
    <t>بوعروج تسنيم</t>
  </si>
  <si>
    <t>BON 59(27/09/2026)</t>
  </si>
  <si>
    <t>BON 37(26/09/2026)</t>
  </si>
  <si>
    <t xml:space="preserve">bon ècole </t>
  </si>
  <si>
    <t>بن تونسي عبد المؤمن</t>
  </si>
  <si>
    <t>BON 38(28/09/2026)</t>
  </si>
  <si>
    <t xml:space="preserve">3al </t>
  </si>
  <si>
    <t>عراس صورية</t>
  </si>
  <si>
    <t>06 98259083/06 60324503</t>
  </si>
  <si>
    <t xml:space="preserve">بحري نورهان </t>
  </si>
  <si>
    <t>1AS</t>
  </si>
  <si>
    <t>06 61272819/05 58074551</t>
  </si>
  <si>
    <t>بلغيري كوثر</t>
  </si>
  <si>
    <t>BON02(28/09/2026)</t>
  </si>
  <si>
    <t>إسكندر هامل</t>
  </si>
  <si>
    <t>06 59144881</t>
  </si>
  <si>
    <t>BON60(28/09/2026)</t>
  </si>
  <si>
    <t>صنهاجي الاء نور الهدى</t>
  </si>
  <si>
    <t>BON 39(28/09/2026)</t>
  </si>
  <si>
    <t>لعرابة</t>
  </si>
  <si>
    <t>05 50496712/05 57857159</t>
  </si>
  <si>
    <t>عياشي رؤى</t>
  </si>
  <si>
    <t>BON 40(28/09/2026)</t>
  </si>
  <si>
    <t>06 62655965</t>
  </si>
  <si>
    <t>BON 11(28/09/2026)</t>
  </si>
  <si>
    <t>intro NIV 01/   octobre-ADULTE</t>
  </si>
  <si>
    <t xml:space="preserve">مسالي يحى </t>
  </si>
  <si>
    <t>BON27(28/09/26)</t>
  </si>
  <si>
    <t>let's go NIV 01/   octobre-ADULTE</t>
  </si>
  <si>
    <t>650+650</t>
  </si>
  <si>
    <t>BON69+115 (14+28/09/2026)</t>
  </si>
  <si>
    <t>رحمون يقين</t>
  </si>
  <si>
    <t>BON116(29/09/2026)</t>
  </si>
  <si>
    <t xml:space="preserve">فراح تقوى  </t>
  </si>
  <si>
    <t>BON41(28//09/2026)</t>
  </si>
  <si>
    <t>سمية</t>
  </si>
  <si>
    <t>3al</t>
  </si>
  <si>
    <t>قرفة محمد ساجد</t>
  </si>
  <si>
    <t>BON 61(29/09/2026)</t>
  </si>
  <si>
    <t>بورنان ليان</t>
  </si>
  <si>
    <t>BON 62(29/09/2026)</t>
  </si>
  <si>
    <t>عمايري عبد المقيت</t>
  </si>
  <si>
    <t>BON03(29/09/2026)</t>
  </si>
  <si>
    <t>دنداني رؤيم</t>
  </si>
  <si>
    <t>BON04(29/09/2026)</t>
  </si>
  <si>
    <t>بن كحمان محمد امير</t>
  </si>
  <si>
    <t>دهيمي محمد</t>
  </si>
  <si>
    <t>سبتمبر/أكتوبر</t>
  </si>
  <si>
    <t>كيموش خديجة جود</t>
  </si>
  <si>
    <t>BON01(29/09/2026)</t>
  </si>
  <si>
    <t>2AP</t>
  </si>
  <si>
    <t>رياضيات+عربية</t>
  </si>
  <si>
    <t xml:space="preserve">نموشي </t>
  </si>
  <si>
    <t>RMB BON05 (29/09/2026)</t>
  </si>
  <si>
    <t>بن حمودة رامي</t>
  </si>
  <si>
    <t>BON ECOLE 03(28/09/26)</t>
  </si>
  <si>
    <t>0793 96 33 66/0779 18 02 78</t>
  </si>
  <si>
    <t>0564 62 86 76/0794 49 36 01/0795 90 40 42</t>
  </si>
  <si>
    <t>0696 12 61 97/0555 43 77 57/0773 03 17 25</t>
  </si>
  <si>
    <t>0775 61 62 53/0553 03 23 36</t>
  </si>
  <si>
    <t>0797 76 36 79/0798 70 26 42</t>
  </si>
  <si>
    <t>0799 67 30 48/0658 19 38 68</t>
  </si>
  <si>
    <t>06 61 78 64 78/0790 69 60 84</t>
  </si>
  <si>
    <t>06 56351097/0698 70 05 85</t>
  </si>
  <si>
    <t>0555 10 00 40/0551 00 25 55</t>
  </si>
  <si>
    <t>0774 12 87 48</t>
  </si>
  <si>
    <t>0551 89 04 58/0659 36 93 67</t>
  </si>
  <si>
    <t>0798 68 53 22/0772 01 15 20</t>
  </si>
  <si>
    <t>0551 31 94 07/0554 32 35 36</t>
  </si>
  <si>
    <t>0560 95 19 98/0560 99 02 22</t>
  </si>
  <si>
    <t>0550 26 37 68/0551 22 31 06</t>
  </si>
  <si>
    <t>0560 04 23 72</t>
  </si>
  <si>
    <t>0550 70 80 02/0559 32 63 13</t>
  </si>
  <si>
    <t>0774 35 30 74/0554 31 47 67</t>
  </si>
  <si>
    <t>0774 69 25 69</t>
  </si>
  <si>
    <t>0798 48 73 78</t>
  </si>
  <si>
    <t>0779 62 60 05/0552 53 13 44</t>
  </si>
  <si>
    <t>0550 49 44 41/0659 82 07 35</t>
  </si>
  <si>
    <t>07 96 21 38 62/0696 07 09 43</t>
  </si>
  <si>
    <t>06 71 65 02 93/0657 51 34 70</t>
  </si>
  <si>
    <t>0792 78 94 37 / 0792 72 85 68</t>
  </si>
  <si>
    <t>0668 00 34 04/0558 23 34 62</t>
  </si>
  <si>
    <t>0661 45 14 96/0659 88 93 91</t>
  </si>
  <si>
    <t>0659 67 39 12</t>
  </si>
  <si>
    <t>0551 25 76 83</t>
  </si>
  <si>
    <t>0558 61 10 72/0553 69 06 85</t>
  </si>
  <si>
    <t>0550 53 53 56</t>
  </si>
  <si>
    <t>0771 86 85 25/0698 43 54 90</t>
  </si>
  <si>
    <t>06 59543584/0654 85 33 96</t>
  </si>
  <si>
    <t>0770 25 96 98/0770 25 97 10</t>
  </si>
  <si>
    <t>0656 35 33 46</t>
  </si>
  <si>
    <t>0774 02 73 73/0775 90 92 84</t>
  </si>
  <si>
    <t>0658 48 62 24/0657 71 30 18</t>
  </si>
  <si>
    <t>0550 46 75 00/0541 54 51 15</t>
  </si>
  <si>
    <t>0662 72 47 41/0674 41 64 38</t>
  </si>
  <si>
    <t>0541 41 12 27</t>
  </si>
  <si>
    <t>0774 02 51 83/0661 16 13 30</t>
  </si>
  <si>
    <t>0770 87 85 37</t>
  </si>
  <si>
    <t>0670 19 01 04</t>
  </si>
  <si>
    <t>0553 41 00 39/0557 83 78 45</t>
  </si>
  <si>
    <t>0661 63 83 59/0556 51 19 66</t>
  </si>
  <si>
    <t>0552 49 76 97/0779 86 04 38</t>
  </si>
  <si>
    <t>0657 54 21 81</t>
  </si>
  <si>
    <t>0773 34 89 98/0654 84 26 62</t>
  </si>
  <si>
    <t>0554 01 09 35/0550 96 92 60</t>
  </si>
  <si>
    <t>0656 25 12 40</t>
  </si>
  <si>
    <t>0776 62 30 59/0781 57 01 21</t>
  </si>
  <si>
    <t>0672 52 80 97</t>
  </si>
  <si>
    <t>0673 53 59 18/0668 25 72 81</t>
  </si>
  <si>
    <t>0659 17 24 43/0779 83 87 06</t>
  </si>
  <si>
    <t>0798 72 14 00/0782 86 30 88</t>
  </si>
  <si>
    <t>عوايجية وجيه</t>
  </si>
  <si>
    <t>0672 42 86 95</t>
  </si>
  <si>
    <t>BON05(29/09/26)</t>
  </si>
  <si>
    <t>0793 53 48 39/0793 79 67 67</t>
  </si>
  <si>
    <t>0549 58 24 03/0552 96 30 92</t>
  </si>
  <si>
    <t>0666 70 30 17/0660 06 99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</si>
</sst>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6" x14ac:knownFonts="1">
    <font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 Light"/>
      <family val="1"/>
      <scheme val="major"/>
    </font>
    <font>
      <b/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2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 Light"/>
      <family val="1"/>
      <scheme val="major"/>
    </font>
    <font>
      <sz val="11"/>
      <color theme="1"/>
      <name val="Calibri Light"/>
      <family val="1"/>
      <scheme val="major"/>
    </font>
    <font>
      <sz val="1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</font>
    <font>
      <sz val="16.8"/>
      <color theme="1"/>
      <name val="Arial"/>
      <family val="2"/>
    </font>
    <font>
      <sz val="16.8"/>
      <color theme="1"/>
      <name val="Calibri"/>
      <family val="2"/>
    </font>
    <font>
      <b/>
      <sz val="14"/>
      <color theme="1"/>
      <name val="Calibri"/>
      <family val="2"/>
      <scheme val="minor"/>
    </font>
    <font>
      <b/>
      <i/>
      <sz val="16"/>
      <color theme="0"/>
      <name val="Calibri"/>
      <family val="2"/>
      <scheme val="minor"/>
    </font>
    <font>
      <b/>
      <i/>
      <sz val="20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theme="1"/>
      <name val="Calibri"/>
      <family val="2"/>
    </font>
    <font>
      <sz val="18"/>
      <color theme="1"/>
      <name val="Arial"/>
      <family val="2"/>
    </font>
    <font>
      <b/>
      <sz val="20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26"/>
      <color rgb="FFFF000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28"/>
      <color rgb="FFFF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48"/>
      <color rgb="FFFF0000"/>
      <name val="Calibri"/>
      <family val="2"/>
      <scheme val="minor"/>
    </font>
    <font>
      <b/>
      <i/>
      <u/>
      <sz val="2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6"/>
      <name val="Calibri"/>
      <family val="2"/>
      <scheme val="minor"/>
    </font>
    <font>
      <sz val="2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27">
    <xf numFmtId="0" fontId="0" fillId="0" borderId="0" xfId="0"/>
    <xf numFmtId="0" fontId="2" fillId="0" borderId="7" xfId="0" applyFont="1" applyBorder="1"/>
    <xf numFmtId="0" fontId="0" fillId="0" borderId="7" xfId="0" applyBorder="1" applyAlignment="1">
      <alignment horizontal="center" vertical="center"/>
    </xf>
    <xf numFmtId="0" fontId="0" fillId="0" borderId="7" xfId="0" applyBorder="1"/>
    <xf numFmtId="0" fontId="3" fillId="0" borderId="7" xfId="0" applyFont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 textRotation="180"/>
    </xf>
    <xf numFmtId="0" fontId="0" fillId="0" borderId="1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8" fillId="4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0" fillId="4" borderId="7" xfId="0" applyFill="1" applyBorder="1"/>
    <xf numFmtId="0" fontId="2" fillId="0" borderId="7" xfId="0" applyFont="1" applyBorder="1" applyAlignment="1">
      <alignment horizontal="center"/>
    </xf>
    <xf numFmtId="0" fontId="2" fillId="8" borderId="7" xfId="0" applyFon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2" fillId="5" borderId="7" xfId="0" applyFont="1" applyFill="1" applyBorder="1"/>
    <xf numFmtId="0" fontId="2" fillId="7" borderId="7" xfId="0" applyFont="1" applyFill="1" applyBorder="1" applyAlignment="1">
      <alignment horizontal="center" vertical="center"/>
    </xf>
    <xf numFmtId="0" fontId="2" fillId="7" borderId="7" xfId="0" applyFont="1" applyFill="1" applyBorder="1"/>
    <xf numFmtId="0" fontId="2" fillId="6" borderId="7" xfId="0" applyFont="1" applyFill="1" applyBorder="1"/>
    <xf numFmtId="0" fontId="11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14" fillId="2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0" fillId="11" borderId="7" xfId="0" applyFont="1" applyFill="1" applyBorder="1" applyAlignment="1">
      <alignment horizontal="center" vertical="center"/>
    </xf>
    <xf numFmtId="0" fontId="21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7" xfId="0" applyFon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0" fillId="2" borderId="0" xfId="0" applyFill="1"/>
    <xf numFmtId="0" fontId="29" fillId="0" borderId="0" xfId="0" applyFont="1"/>
    <xf numFmtId="0" fontId="11" fillId="0" borderId="20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/>
    </xf>
    <xf numFmtId="0" fontId="3" fillId="2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2" fillId="18" borderId="7" xfId="0" applyFont="1" applyFill="1" applyBorder="1" applyAlignment="1">
      <alignment horizontal="center" vertical="center"/>
    </xf>
    <xf numFmtId="0" fontId="2" fillId="16" borderId="7" xfId="0" applyFont="1" applyFill="1" applyBorder="1"/>
    <xf numFmtId="0" fontId="2" fillId="14" borderId="7" xfId="0" applyFont="1" applyFill="1" applyBorder="1"/>
    <xf numFmtId="0" fontId="2" fillId="11" borderId="7" xfId="0" applyFont="1" applyFill="1" applyBorder="1"/>
    <xf numFmtId="0" fontId="2" fillId="19" borderId="7" xfId="0" applyFont="1" applyFill="1" applyBorder="1" applyAlignment="1">
      <alignment horizontal="center" vertical="center"/>
    </xf>
    <xf numFmtId="0" fontId="2" fillId="20" borderId="7" xfId="0" applyFont="1" applyFill="1" applyBorder="1"/>
    <xf numFmtId="0" fontId="11" fillId="0" borderId="10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1" fillId="2" borderId="13" xfId="0" applyFont="1" applyFill="1" applyBorder="1" applyAlignment="1">
      <alignment horizontal="center" vertical="center"/>
    </xf>
    <xf numFmtId="0" fontId="19" fillId="2" borderId="13" xfId="0" applyFont="1" applyFill="1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41" fillId="0" borderId="7" xfId="0" applyFont="1" applyBorder="1"/>
    <xf numFmtId="0" fontId="41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readingOrder="1"/>
    </xf>
    <xf numFmtId="0" fontId="43" fillId="0" borderId="7" xfId="0" applyFont="1" applyBorder="1" applyAlignment="1">
      <alignment horizontal="center" vertical="center" readingOrder="1"/>
    </xf>
    <xf numFmtId="0" fontId="10" fillId="2" borderId="9" xfId="0" applyFont="1" applyFill="1" applyBorder="1" applyAlignment="1">
      <alignment horizontal="center" vertical="center"/>
    </xf>
    <xf numFmtId="0" fontId="2" fillId="2" borderId="7" xfId="0" applyFont="1" applyFill="1" applyBorder="1"/>
    <xf numFmtId="0" fontId="2" fillId="20" borderId="7" xfId="0" applyFont="1" applyFill="1" applyBorder="1" applyAlignment="1">
      <alignment horizontal="center" vertical="center"/>
    </xf>
    <xf numFmtId="0" fontId="42" fillId="23" borderId="7" xfId="0" applyFont="1" applyFill="1" applyBorder="1" applyAlignment="1">
      <alignment horizontal="center" vertical="center" readingOrder="1"/>
    </xf>
    <xf numFmtId="0" fontId="24" fillId="2" borderId="7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12" borderId="7" xfId="0" applyFont="1" applyFill="1" applyBorder="1" applyAlignment="1">
      <alignment horizontal="center" vertical="center"/>
    </xf>
    <xf numFmtId="0" fontId="19" fillId="4" borderId="7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42" fillId="12" borderId="7" xfId="0" applyFont="1" applyFill="1" applyBorder="1" applyAlignment="1">
      <alignment horizontal="center" vertical="center" readingOrder="1"/>
    </xf>
    <xf numFmtId="0" fontId="0" fillId="24" borderId="7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14" borderId="8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20" borderId="8" xfId="0" applyFill="1" applyBorder="1" applyAlignment="1">
      <alignment horizontal="center" vertical="center"/>
    </xf>
    <xf numFmtId="0" fontId="0" fillId="20" borderId="9" xfId="0" applyFill="1" applyBorder="1" applyAlignment="1">
      <alignment horizontal="center" vertical="center"/>
    </xf>
    <xf numFmtId="0" fontId="0" fillId="19" borderId="8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2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19" borderId="4" xfId="0" applyFont="1" applyFill="1" applyBorder="1" applyAlignment="1">
      <alignment horizontal="center" vertical="center"/>
    </xf>
    <xf numFmtId="0" fontId="1" fillId="19" borderId="5" xfId="0" applyFont="1" applyFill="1" applyBorder="1" applyAlignment="1">
      <alignment horizontal="center" vertical="center"/>
    </xf>
    <xf numFmtId="0" fontId="1" fillId="19" borderId="6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5" borderId="4" xfId="0" applyFont="1" applyFill="1" applyBorder="1" applyAlignment="1">
      <alignment horizontal="center"/>
    </xf>
    <xf numFmtId="0" fontId="1" fillId="15" borderId="5" xfId="0" applyFont="1" applyFill="1" applyBorder="1" applyAlignment="1">
      <alignment horizontal="center"/>
    </xf>
    <xf numFmtId="0" fontId="1" fillId="15" borderId="6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0" fontId="1" fillId="11" borderId="6" xfId="0" applyFont="1" applyFill="1" applyBorder="1" applyAlignment="1">
      <alignment horizontal="center"/>
    </xf>
    <xf numFmtId="0" fontId="1" fillId="18" borderId="1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8" borderId="4" xfId="0" applyFont="1" applyFill="1" applyBorder="1" applyAlignment="1">
      <alignment horizontal="center"/>
    </xf>
    <xf numFmtId="0" fontId="1" fillId="18" borderId="5" xfId="0" applyFont="1" applyFill="1" applyBorder="1" applyAlignment="1">
      <alignment horizontal="center"/>
    </xf>
    <xf numFmtId="0" fontId="1" fillId="18" borderId="6" xfId="0" applyFont="1" applyFill="1" applyBorder="1" applyAlignment="1">
      <alignment horizontal="center"/>
    </xf>
    <xf numFmtId="0" fontId="0" fillId="18" borderId="8" xfId="0" applyFill="1" applyBorder="1" applyAlignment="1">
      <alignment horizontal="center" vertical="center"/>
    </xf>
    <xf numFmtId="0" fontId="0" fillId="18" borderId="9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" fillId="7" borderId="7" xfId="0" applyFont="1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0" fillId="7" borderId="8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" fillId="6" borderId="5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0" fillId="8" borderId="8" xfId="0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19" fillId="4" borderId="3" xfId="0" applyFont="1" applyFill="1" applyBorder="1" applyAlignment="1">
      <alignment horizontal="center" vertical="center"/>
    </xf>
    <xf numFmtId="0" fontId="19" fillId="4" borderId="4" xfId="0" applyFont="1" applyFill="1" applyBorder="1" applyAlignment="1">
      <alignment horizontal="center" vertical="center"/>
    </xf>
    <xf numFmtId="0" fontId="19" fillId="4" borderId="5" xfId="0" applyFont="1" applyFill="1" applyBorder="1" applyAlignment="1">
      <alignment horizontal="center" vertical="center"/>
    </xf>
    <xf numFmtId="0" fontId="19" fillId="4" borderId="6" xfId="0" applyFont="1" applyFill="1" applyBorder="1" applyAlignment="1">
      <alignment horizontal="center" vertical="center"/>
    </xf>
    <xf numFmtId="0" fontId="42" fillId="23" borderId="8" xfId="0" applyFont="1" applyFill="1" applyBorder="1" applyAlignment="1">
      <alignment horizontal="center" vertical="center" readingOrder="2"/>
    </xf>
    <xf numFmtId="0" fontId="42" fillId="23" borderId="9" xfId="0" applyFont="1" applyFill="1" applyBorder="1" applyAlignment="1">
      <alignment horizontal="center" vertical="center" readingOrder="2"/>
    </xf>
    <xf numFmtId="0" fontId="42" fillId="0" borderId="8" xfId="0" applyFont="1" applyBorder="1" applyAlignment="1">
      <alignment horizontal="center" vertical="center" readingOrder="1"/>
    </xf>
    <xf numFmtId="0" fontId="42" fillId="0" borderId="9" xfId="0" applyFont="1" applyBorder="1" applyAlignment="1">
      <alignment horizontal="center" vertical="center" readingOrder="1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23" fillId="4" borderId="7" xfId="0" applyFont="1" applyFill="1" applyBorder="1" applyAlignment="1">
      <alignment horizontal="center" vertical="center"/>
    </xf>
    <xf numFmtId="0" fontId="23" fillId="4" borderId="0" xfId="0" applyFont="1" applyFill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5" xfId="0" applyFont="1" applyFill="1" applyBorder="1" applyAlignment="1">
      <alignment horizontal="center" vertical="center"/>
    </xf>
    <xf numFmtId="0" fontId="23" fillId="4" borderId="6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3" borderId="4" xfId="0" applyFont="1" applyFill="1" applyBorder="1" applyAlignment="1">
      <alignment horizontal="center"/>
    </xf>
    <xf numFmtId="0" fontId="1" fillId="13" borderId="5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7" fillId="5" borderId="0" xfId="0" applyFont="1" applyFill="1" applyAlignment="1">
      <alignment horizontal="center" vertical="center" textRotation="180"/>
    </xf>
    <xf numFmtId="0" fontId="15" fillId="5" borderId="1" xfId="0" applyFont="1" applyFill="1" applyBorder="1" applyAlignment="1">
      <alignment horizontal="center"/>
    </xf>
    <xf numFmtId="0" fontId="15" fillId="5" borderId="14" xfId="0" applyFont="1" applyFill="1" applyBorder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1" fillId="21" borderId="1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1" borderId="4" xfId="0" applyFont="1" applyFill="1" applyBorder="1" applyAlignment="1">
      <alignment horizontal="center"/>
    </xf>
    <xf numFmtId="0" fontId="1" fillId="21" borderId="5" xfId="0" applyFont="1" applyFill="1" applyBorder="1" applyAlignment="1">
      <alignment horizontal="center"/>
    </xf>
    <xf numFmtId="0" fontId="1" fillId="21" borderId="6" xfId="0" applyFont="1" applyFill="1" applyBorder="1" applyAlignment="1">
      <alignment horizontal="center"/>
    </xf>
    <xf numFmtId="0" fontId="40" fillId="22" borderId="0" xfId="0" applyFont="1" applyFill="1" applyAlignment="1">
      <alignment horizontal="center" vertical="center"/>
    </xf>
    <xf numFmtId="0" fontId="41" fillId="0" borderId="10" xfId="0" applyFont="1" applyBorder="1" applyAlignment="1">
      <alignment horizontal="center"/>
    </xf>
    <xf numFmtId="0" fontId="41" fillId="0" borderId="12" xfId="0" applyFont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5" xfId="0" applyFont="1" applyFill="1" applyBorder="1" applyAlignment="1">
      <alignment horizontal="center" vertical="center"/>
    </xf>
    <xf numFmtId="0" fontId="11" fillId="4" borderId="8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horizontal="center" vertical="center"/>
    </xf>
    <xf numFmtId="0" fontId="33" fillId="10" borderId="0" xfId="0" applyFont="1" applyFill="1" applyAlignment="1">
      <alignment horizontal="center" vertical="center" textRotation="255"/>
    </xf>
    <xf numFmtId="0" fontId="0" fillId="10" borderId="0" xfId="0" applyFill="1" applyAlignment="1">
      <alignment horizontal="center" vertical="center" textRotation="255"/>
    </xf>
    <xf numFmtId="0" fontId="28" fillId="3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33" fillId="18" borderId="0" xfId="0" applyFont="1" applyFill="1" applyAlignment="1">
      <alignment horizontal="center" vertical="center" textRotation="255"/>
    </xf>
    <xf numFmtId="0" fontId="0" fillId="18" borderId="0" xfId="0" applyFill="1" applyAlignment="1">
      <alignment horizontal="center" vertical="center" textRotation="255"/>
    </xf>
    <xf numFmtId="0" fontId="35" fillId="18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8" fontId="11" fillId="0" borderId="10" xfId="0" applyNumberFormat="1" applyFont="1" applyBorder="1" applyAlignment="1">
      <alignment horizontal="center" vertical="center" readingOrder="2"/>
    </xf>
    <xf numFmtId="0" fontId="11" fillId="0" borderId="10" xfId="0" applyFont="1" applyBorder="1" applyAlignment="1">
      <alignment horizontal="center" vertical="center" readingOrder="2"/>
    </xf>
    <xf numFmtId="0" fontId="19" fillId="2" borderId="8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18" fontId="11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6" borderId="8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18" fontId="11" fillId="2" borderId="10" xfId="0" applyNumberFormat="1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2" xfId="0" applyFont="1" applyFill="1" applyBorder="1" applyAlignment="1">
      <alignment horizontal="center" vertical="center"/>
    </xf>
    <xf numFmtId="0" fontId="11" fillId="17" borderId="3" xfId="0" applyFont="1" applyFill="1" applyBorder="1" applyAlignment="1">
      <alignment horizontal="center" vertical="center"/>
    </xf>
    <xf numFmtId="0" fontId="11" fillId="17" borderId="4" xfId="0" applyFont="1" applyFill="1" applyBorder="1" applyAlignment="1">
      <alignment horizontal="center" vertical="center"/>
    </xf>
    <xf numFmtId="0" fontId="11" fillId="17" borderId="5" xfId="0" applyFont="1" applyFill="1" applyBorder="1" applyAlignment="1">
      <alignment horizontal="center" vertical="center"/>
    </xf>
    <xf numFmtId="0" fontId="11" fillId="17" borderId="6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0" fillId="2" borderId="19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/>
    </xf>
    <xf numFmtId="0" fontId="25" fillId="6" borderId="4" xfId="0" applyFont="1" applyFill="1" applyBorder="1" applyAlignment="1">
      <alignment horizontal="center" vertical="center"/>
    </xf>
    <xf numFmtId="0" fontId="24" fillId="2" borderId="19" xfId="0" applyFont="1" applyFill="1" applyBorder="1" applyAlignment="1">
      <alignment horizontal="center" vertical="center"/>
    </xf>
    <xf numFmtId="0" fontId="24" fillId="2" borderId="9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/>
    </xf>
    <xf numFmtId="0" fontId="24" fillId="4" borderId="9" xfId="0" applyFont="1" applyFill="1" applyBorder="1" applyAlignment="1">
      <alignment horizontal="center" vertical="center"/>
    </xf>
    <xf numFmtId="0" fontId="44" fillId="2" borderId="8" xfId="0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 readingOrder="2"/>
    </xf>
    <xf numFmtId="0" fontId="24" fillId="0" borderId="9" xfId="0" applyFont="1" applyBorder="1" applyAlignment="1">
      <alignment horizontal="center" vertical="center" readingOrder="2"/>
    </xf>
    <xf numFmtId="0" fontId="15" fillId="17" borderId="7" xfId="0" applyFont="1" applyFill="1" applyBorder="1" applyAlignment="1">
      <alignment horizontal="center" vertical="center"/>
    </xf>
    <xf numFmtId="14" fontId="22" fillId="11" borderId="8" xfId="0" applyNumberFormat="1" applyFont="1" applyFill="1" applyBorder="1" applyAlignment="1">
      <alignment horizontal="center" vertical="center"/>
    </xf>
    <xf numFmtId="0" fontId="22" fillId="11" borderId="9" xfId="0" applyFont="1" applyFill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 wrapText="1"/>
    </xf>
    <xf numFmtId="0" fontId="45" fillId="0" borderId="10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AB25A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820B7-E61B-4D52-B8B8-C08E233A0D0D}">
  <dimension ref="B4:F22"/>
  <sheetViews>
    <sheetView rightToLeft="1" zoomScaleNormal="100" workbookViewId="0">
      <selection activeCell="K25" sqref="K25"/>
    </sheetView>
  </sheetViews>
  <sheetFormatPr defaultColWidth="11.42578125" defaultRowHeight="15" x14ac:dyDescent="0.25"/>
  <cols>
    <col min="3" max="3" width="19" bestFit="1" customWidth="1"/>
    <col min="4" max="5" width="18.7109375" bestFit="1" customWidth="1"/>
  </cols>
  <sheetData>
    <row r="4" spans="2:6" x14ac:dyDescent="0.25">
      <c r="B4" s="3"/>
      <c r="C4" s="3"/>
      <c r="D4" s="3"/>
      <c r="E4" s="3"/>
      <c r="F4" s="3"/>
    </row>
    <row r="5" spans="2:6" ht="21" x14ac:dyDescent="0.35">
      <c r="B5" s="20" t="s">
        <v>55</v>
      </c>
      <c r="C5" s="3" t="s">
        <v>621</v>
      </c>
      <c r="D5" s="2" t="s">
        <v>738</v>
      </c>
      <c r="E5" s="3"/>
      <c r="F5" s="3"/>
    </row>
    <row r="6" spans="2:6" ht="21" x14ac:dyDescent="0.35">
      <c r="B6" s="20" t="s">
        <v>63</v>
      </c>
      <c r="C6" s="3" t="s">
        <v>633</v>
      </c>
      <c r="D6" s="3"/>
      <c r="E6" s="3"/>
      <c r="F6" s="3"/>
    </row>
    <row r="7" spans="2:6" ht="21" x14ac:dyDescent="0.35">
      <c r="B7" s="20" t="s">
        <v>72</v>
      </c>
      <c r="C7" s="3" t="s">
        <v>646</v>
      </c>
      <c r="D7" s="3"/>
      <c r="E7" s="3"/>
      <c r="F7" s="3"/>
    </row>
    <row r="8" spans="2:6" ht="21" x14ac:dyDescent="0.35">
      <c r="B8" s="20" t="s">
        <v>520</v>
      </c>
      <c r="C8" s="3" t="s">
        <v>574</v>
      </c>
      <c r="D8" s="3"/>
      <c r="E8" s="3"/>
      <c r="F8" s="3"/>
    </row>
    <row r="9" spans="2:6" ht="21" x14ac:dyDescent="0.35">
      <c r="B9" s="20" t="s">
        <v>534</v>
      </c>
      <c r="C9" s="3" t="s">
        <v>573</v>
      </c>
      <c r="D9" s="3"/>
      <c r="E9" s="3"/>
      <c r="F9" s="3"/>
    </row>
    <row r="10" spans="2:6" ht="30" customHeight="1" x14ac:dyDescent="0.25">
      <c r="B10" s="2" t="s">
        <v>627</v>
      </c>
      <c r="C10" s="2" t="s">
        <v>628</v>
      </c>
      <c r="D10" s="3"/>
      <c r="E10" s="3"/>
      <c r="F10" s="3"/>
    </row>
    <row r="11" spans="2:6" ht="21" x14ac:dyDescent="0.35">
      <c r="B11" s="20" t="s">
        <v>568</v>
      </c>
      <c r="C11" s="3" t="s">
        <v>631</v>
      </c>
      <c r="D11" s="3"/>
      <c r="E11" s="3"/>
      <c r="F11" s="3"/>
    </row>
    <row r="12" spans="2:6" ht="21" x14ac:dyDescent="0.35">
      <c r="B12" s="20" t="s">
        <v>636</v>
      </c>
      <c r="C12" s="3" t="s">
        <v>637</v>
      </c>
      <c r="D12" s="3"/>
      <c r="E12" s="3"/>
      <c r="F12" s="3"/>
    </row>
    <row r="13" spans="2:6" ht="21" x14ac:dyDescent="0.35">
      <c r="B13" s="20" t="s">
        <v>638</v>
      </c>
      <c r="C13" s="3" t="s">
        <v>639</v>
      </c>
      <c r="D13" s="3"/>
      <c r="E13" s="3"/>
      <c r="F13" s="3"/>
    </row>
    <row r="14" spans="2:6" x14ac:dyDescent="0.25">
      <c r="B14" s="3"/>
      <c r="C14" s="3"/>
      <c r="D14" s="3"/>
      <c r="E14" s="3"/>
      <c r="F14" s="3"/>
    </row>
    <row r="15" spans="2:6" x14ac:dyDescent="0.25">
      <c r="B15" s="3"/>
      <c r="C15" s="3"/>
      <c r="D15" s="3"/>
      <c r="E15" s="3"/>
      <c r="F15" s="3"/>
    </row>
    <row r="16" spans="2:6" x14ac:dyDescent="0.25">
      <c r="B16" s="3"/>
      <c r="C16" s="3"/>
      <c r="D16" s="3"/>
      <c r="E16" s="3"/>
      <c r="F16" s="3"/>
    </row>
    <row r="17" spans="2:6" x14ac:dyDescent="0.25">
      <c r="B17" s="3"/>
      <c r="C17" s="3"/>
      <c r="D17" s="3"/>
      <c r="E17" s="3"/>
      <c r="F17" s="3"/>
    </row>
    <row r="18" spans="2:6" x14ac:dyDescent="0.25">
      <c r="B18" s="3"/>
      <c r="C18" s="3"/>
      <c r="D18" s="3"/>
      <c r="E18" s="3"/>
      <c r="F18" s="3"/>
    </row>
    <row r="19" spans="2:6" x14ac:dyDescent="0.25">
      <c r="B19" s="3"/>
      <c r="C19" s="3"/>
      <c r="D19" s="3"/>
      <c r="E19" s="3"/>
      <c r="F19" s="3"/>
    </row>
    <row r="20" spans="2:6" x14ac:dyDescent="0.25">
      <c r="B20" s="3"/>
      <c r="C20" s="3"/>
      <c r="D20" s="3"/>
      <c r="E20" s="3"/>
      <c r="F20" s="3"/>
    </row>
    <row r="21" spans="2:6" x14ac:dyDescent="0.25">
      <c r="B21" s="3"/>
      <c r="C21" s="3"/>
      <c r="D21" s="3"/>
      <c r="E21" s="3"/>
      <c r="F21" s="3"/>
    </row>
    <row r="22" spans="2:6" x14ac:dyDescent="0.25">
      <c r="B22" s="3"/>
      <c r="C22" s="3"/>
      <c r="D22" s="3"/>
      <c r="E22" s="3"/>
      <c r="F22" s="3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B04EC-5D95-4DE6-9292-71E6A892AFDC}">
  <dimension ref="C6:R46"/>
  <sheetViews>
    <sheetView rightToLeft="1" topLeftCell="B1" workbookViewId="0">
      <selection activeCell="C9" sqref="C9:F10"/>
    </sheetView>
  </sheetViews>
  <sheetFormatPr defaultColWidth="11.42578125" defaultRowHeight="15" x14ac:dyDescent="0.25"/>
  <cols>
    <col min="3" max="3" width="17.5703125" customWidth="1"/>
    <col min="4" max="4" width="20.5703125" customWidth="1"/>
    <col min="5" max="5" width="22.42578125" customWidth="1"/>
    <col min="6" max="6" width="18.28515625" bestFit="1" customWidth="1"/>
  </cols>
  <sheetData>
    <row r="6" spans="3:18" x14ac:dyDescent="0.25">
      <c r="F6" s="119" t="s">
        <v>916</v>
      </c>
      <c r="G6" s="120"/>
      <c r="H6" s="120"/>
      <c r="I6" s="120"/>
      <c r="J6" s="120"/>
      <c r="K6" s="121"/>
    </row>
    <row r="7" spans="3:18" x14ac:dyDescent="0.25">
      <c r="F7" s="122"/>
      <c r="G7" s="123"/>
      <c r="H7" s="123"/>
      <c r="I7" s="123"/>
      <c r="J7" s="123"/>
      <c r="K7" s="124"/>
    </row>
    <row r="8" spans="3:18" ht="21" x14ac:dyDescent="0.25">
      <c r="C8" s="87" t="s">
        <v>0</v>
      </c>
      <c r="D8" s="7" t="s">
        <v>1</v>
      </c>
      <c r="E8" s="7" t="s">
        <v>2</v>
      </c>
      <c r="F8" s="7" t="s">
        <v>3</v>
      </c>
      <c r="G8" s="7" t="s">
        <v>4</v>
      </c>
      <c r="H8" s="7" t="s">
        <v>5</v>
      </c>
      <c r="I8" s="7" t="s">
        <v>6</v>
      </c>
      <c r="J8" s="7" t="s">
        <v>7</v>
      </c>
      <c r="K8" s="7" t="s">
        <v>8</v>
      </c>
      <c r="L8" s="7" t="s">
        <v>9</v>
      </c>
      <c r="M8" s="7" t="s">
        <v>10</v>
      </c>
      <c r="N8" s="7" t="s">
        <v>11</v>
      </c>
      <c r="O8" s="7" t="s">
        <v>12</v>
      </c>
      <c r="P8" s="7" t="s">
        <v>13</v>
      </c>
      <c r="Q8" s="7" t="s">
        <v>14</v>
      </c>
      <c r="R8" s="9"/>
    </row>
    <row r="9" spans="3:18" x14ac:dyDescent="0.25">
      <c r="C9" s="109" t="s">
        <v>917</v>
      </c>
      <c r="D9" s="98" t="s">
        <v>921</v>
      </c>
      <c r="E9" s="2">
        <v>250</v>
      </c>
      <c r="F9" s="2">
        <v>2000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3:18" x14ac:dyDescent="0.25">
      <c r="C10" s="110"/>
      <c r="D10" s="99"/>
      <c r="E10" s="2" t="s">
        <v>922</v>
      </c>
      <c r="F10" s="2" t="s">
        <v>922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3:18" x14ac:dyDescent="0.25">
      <c r="C11" s="109"/>
      <c r="D11" s="98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3:18" x14ac:dyDescent="0.25">
      <c r="C12" s="110"/>
      <c r="D12" s="99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3:18" x14ac:dyDescent="0.25">
      <c r="C13" s="109"/>
      <c r="D13" s="98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3:18" x14ac:dyDescent="0.25">
      <c r="C14" s="110"/>
      <c r="D14" s="99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3:18" x14ac:dyDescent="0.25">
      <c r="C15" s="109"/>
      <c r="D15" s="98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3:18" x14ac:dyDescent="0.25">
      <c r="C16" s="110"/>
      <c r="D16" s="99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3:17" x14ac:dyDescent="0.25">
      <c r="C17" s="109"/>
      <c r="D17" s="98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3:17" x14ac:dyDescent="0.25">
      <c r="C18" s="110"/>
      <c r="D18" s="99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3:17" x14ac:dyDescent="0.25">
      <c r="C19" s="109"/>
      <c r="D19" s="98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3:17" x14ac:dyDescent="0.25">
      <c r="C20" s="110"/>
      <c r="D20" s="99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3:17" x14ac:dyDescent="0.25">
      <c r="C21" s="109"/>
      <c r="D21" s="98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3:17" x14ac:dyDescent="0.25">
      <c r="C22" s="110"/>
      <c r="D22" s="99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3:17" x14ac:dyDescent="0.25">
      <c r="C23" s="109"/>
      <c r="D23" s="98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3:17" x14ac:dyDescent="0.25">
      <c r="C24" s="110"/>
      <c r="D24" s="99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3:17" x14ac:dyDescent="0.25">
      <c r="C25" s="109"/>
      <c r="D25" s="98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3:17" x14ac:dyDescent="0.25">
      <c r="C26" s="110"/>
      <c r="D26" s="99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3:17" x14ac:dyDescent="0.25">
      <c r="C27" s="109"/>
      <c r="D27" s="98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3:17" x14ac:dyDescent="0.25">
      <c r="C28" s="110"/>
      <c r="D28" s="99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3:17" x14ac:dyDescent="0.25">
      <c r="C29" s="109"/>
      <c r="D29" s="98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3:17" x14ac:dyDescent="0.25">
      <c r="C30" s="110"/>
      <c r="D30" s="99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3:17" x14ac:dyDescent="0.25">
      <c r="C31" s="109"/>
      <c r="D31" s="98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3:17" x14ac:dyDescent="0.25">
      <c r="C32" s="110"/>
      <c r="D32" s="99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3:17" x14ac:dyDescent="0.25">
      <c r="C33" s="109"/>
      <c r="D33" s="98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3:17" x14ac:dyDescent="0.25">
      <c r="C34" s="110"/>
      <c r="D34" s="99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3:17" x14ac:dyDescent="0.25">
      <c r="C35" s="109"/>
      <c r="D35" s="98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3:17" x14ac:dyDescent="0.25">
      <c r="C36" s="110"/>
      <c r="D36" s="99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3:17" x14ac:dyDescent="0.25">
      <c r="C37" s="109"/>
      <c r="D37" s="98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3:17" x14ac:dyDescent="0.25">
      <c r="C38" s="110"/>
      <c r="D38" s="99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3:17" x14ac:dyDescent="0.25">
      <c r="C39" s="109"/>
      <c r="D39" s="98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3:17" x14ac:dyDescent="0.25">
      <c r="C40" s="110"/>
      <c r="D40" s="99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3:17" x14ac:dyDescent="0.25">
      <c r="C41" s="109"/>
      <c r="D41" s="98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3:17" x14ac:dyDescent="0.25">
      <c r="C42" s="110"/>
      <c r="D42" s="99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3:17" x14ac:dyDescent="0.25">
      <c r="C43" s="109"/>
      <c r="D43" s="98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3:17" x14ac:dyDescent="0.25">
      <c r="C44" s="110"/>
      <c r="D44" s="99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3:17" x14ac:dyDescent="0.25">
      <c r="C45" s="109"/>
      <c r="D45" s="98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3:17" x14ac:dyDescent="0.25">
      <c r="C46" s="110"/>
      <c r="D46" s="99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</sheetData>
  <mergeCells count="39">
    <mergeCell ref="C45:C46"/>
    <mergeCell ref="D45:D46"/>
    <mergeCell ref="C39:C40"/>
    <mergeCell ref="D39:D40"/>
    <mergeCell ref="C41:C42"/>
    <mergeCell ref="D41:D42"/>
    <mergeCell ref="C43:C44"/>
    <mergeCell ref="D43:D44"/>
    <mergeCell ref="C33:C34"/>
    <mergeCell ref="D33:D34"/>
    <mergeCell ref="C35:C36"/>
    <mergeCell ref="D35:D36"/>
    <mergeCell ref="C37:C38"/>
    <mergeCell ref="D37:D38"/>
    <mergeCell ref="C27:C28"/>
    <mergeCell ref="D27:D28"/>
    <mergeCell ref="C29:C30"/>
    <mergeCell ref="D29:D30"/>
    <mergeCell ref="C31:C32"/>
    <mergeCell ref="D31:D32"/>
    <mergeCell ref="C21:C22"/>
    <mergeCell ref="D21:D22"/>
    <mergeCell ref="C23:C24"/>
    <mergeCell ref="D23:D24"/>
    <mergeCell ref="C25:C26"/>
    <mergeCell ref="D25:D26"/>
    <mergeCell ref="C15:C16"/>
    <mergeCell ref="D15:D16"/>
    <mergeCell ref="C17:C18"/>
    <mergeCell ref="D17:D18"/>
    <mergeCell ref="C19:C20"/>
    <mergeCell ref="D19:D20"/>
    <mergeCell ref="C13:C14"/>
    <mergeCell ref="D13:D14"/>
    <mergeCell ref="F6:K7"/>
    <mergeCell ref="C9:C10"/>
    <mergeCell ref="D9:D10"/>
    <mergeCell ref="C11:C12"/>
    <mergeCell ref="D11:D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28D7F-5892-4EBB-BEEF-77D64B7EE8C2}">
  <dimension ref="B1:FQ53"/>
  <sheetViews>
    <sheetView rightToLeft="1" topLeftCell="EZ1" zoomScale="110" zoomScaleNormal="110" workbookViewId="0">
      <selection activeCell="EI8" sqref="EI8:EL27"/>
    </sheetView>
  </sheetViews>
  <sheetFormatPr defaultColWidth="11.42578125" defaultRowHeight="15" x14ac:dyDescent="0.25"/>
  <cols>
    <col min="2" max="2" width="15.140625" bestFit="1" customWidth="1"/>
    <col min="3" max="3" width="25.85546875" bestFit="1" customWidth="1"/>
    <col min="4" max="5" width="18.7109375" bestFit="1" customWidth="1"/>
    <col min="18" max="18" width="16.42578125" customWidth="1"/>
    <col min="19" max="19" width="25.85546875" bestFit="1" customWidth="1"/>
    <col min="20" max="20" width="18.7109375" bestFit="1" customWidth="1"/>
    <col min="21" max="21" width="20.42578125" customWidth="1"/>
    <col min="34" max="34" width="17.5703125" customWidth="1"/>
    <col min="35" max="35" width="25.85546875" bestFit="1" customWidth="1"/>
    <col min="36" max="37" width="18.7109375" bestFit="1" customWidth="1"/>
    <col min="38" max="38" width="11" bestFit="1" customWidth="1"/>
    <col min="50" max="50" width="15.7109375" customWidth="1"/>
    <col min="51" max="51" width="25.85546875" bestFit="1" customWidth="1"/>
    <col min="52" max="53" width="18.7109375" bestFit="1" customWidth="1"/>
    <col min="66" max="66" width="17.7109375" customWidth="1"/>
    <col min="67" max="67" width="25.85546875" bestFit="1" customWidth="1"/>
    <col min="68" max="69" width="24.5703125" bestFit="1" customWidth="1"/>
    <col min="70" max="70" width="18.7109375" bestFit="1" customWidth="1"/>
    <col min="83" max="83" width="8.85546875" customWidth="1"/>
    <col min="84" max="84" width="7.7109375" customWidth="1"/>
    <col min="87" max="87" width="11.42578125" customWidth="1"/>
    <col min="88" max="88" width="7.85546875" customWidth="1"/>
    <col min="89" max="89" width="16.140625" customWidth="1"/>
    <col min="90" max="90" width="16.28515625" customWidth="1"/>
    <col min="91" max="91" width="16.85546875" customWidth="1"/>
    <col min="109" max="109" width="22.42578125" customWidth="1"/>
    <col min="110" max="110" width="25.85546875" bestFit="1" customWidth="1"/>
    <col min="111" max="111" width="20.85546875" customWidth="1"/>
    <col min="112" max="112" width="18.42578125" customWidth="1"/>
    <col min="113" max="113" width="15.5703125" customWidth="1"/>
    <col min="114" max="114" width="13.85546875" customWidth="1"/>
    <col min="115" max="115" width="14.5703125" customWidth="1"/>
    <col min="116" max="116" width="15" customWidth="1"/>
    <col min="138" max="138" width="8.85546875" customWidth="1"/>
    <col min="139" max="139" width="18.5703125" customWidth="1"/>
    <col min="140" max="140" width="18" customWidth="1"/>
    <col min="141" max="141" width="21" customWidth="1"/>
    <col min="142" max="142" width="18.42578125" customWidth="1"/>
    <col min="158" max="158" width="8.85546875" customWidth="1"/>
    <col min="159" max="159" width="19" customWidth="1"/>
    <col min="160" max="160" width="19.28515625" customWidth="1"/>
    <col min="161" max="161" width="17.28515625" customWidth="1"/>
    <col min="162" max="162" width="19" customWidth="1"/>
    <col min="163" max="163" width="19.28515625" customWidth="1"/>
  </cols>
  <sheetData>
    <row r="1" spans="2:173" ht="30" customHeight="1" x14ac:dyDescent="0.25"/>
    <row r="2" spans="2:173" ht="21.75" customHeight="1" x14ac:dyDescent="0.25">
      <c r="DI2" s="168" t="s">
        <v>216</v>
      </c>
      <c r="DJ2" s="169"/>
      <c r="DK2" s="169"/>
      <c r="DL2" s="169"/>
      <c r="DM2" s="169"/>
      <c r="DN2" s="170"/>
    </row>
    <row r="3" spans="2:173" ht="23.25" customHeight="1" x14ac:dyDescent="0.25">
      <c r="DI3" s="171"/>
      <c r="DJ3" s="172"/>
      <c r="DK3" s="172"/>
      <c r="DL3" s="172"/>
      <c r="DM3" s="172"/>
      <c r="DN3" s="173"/>
    </row>
    <row r="4" spans="2:173" ht="31.5" customHeight="1" x14ac:dyDescent="0.35">
      <c r="CO4" s="162" t="s">
        <v>215</v>
      </c>
      <c r="CP4" s="163"/>
      <c r="CQ4" s="163"/>
      <c r="CR4" s="163"/>
      <c r="CS4" s="163"/>
      <c r="CT4" s="164"/>
      <c r="DE4" s="7" t="s">
        <v>0</v>
      </c>
      <c r="DF4" s="7" t="s">
        <v>1</v>
      </c>
      <c r="DG4" s="8" t="s">
        <v>2</v>
      </c>
      <c r="DH4" s="7" t="s">
        <v>3</v>
      </c>
      <c r="DI4" s="7" t="s">
        <v>4</v>
      </c>
      <c r="DJ4" s="7" t="s">
        <v>5</v>
      </c>
      <c r="DK4" s="7" t="s">
        <v>6</v>
      </c>
      <c r="DL4" s="7" t="s">
        <v>7</v>
      </c>
      <c r="DM4" s="1" t="s">
        <v>8</v>
      </c>
      <c r="DN4" s="1" t="s">
        <v>9</v>
      </c>
      <c r="DO4" s="1" t="s">
        <v>10</v>
      </c>
      <c r="DP4" s="1" t="s">
        <v>11</v>
      </c>
      <c r="DQ4" s="1" t="s">
        <v>12</v>
      </c>
      <c r="DR4" s="1" t="s">
        <v>13</v>
      </c>
      <c r="DS4" s="1" t="s">
        <v>14</v>
      </c>
      <c r="FF4" s="156"/>
      <c r="FG4" s="157"/>
      <c r="FH4" s="157"/>
      <c r="FI4" s="157"/>
      <c r="FJ4" s="157"/>
      <c r="FK4" s="158"/>
    </row>
    <row r="5" spans="2:173" ht="23.25" customHeight="1" x14ac:dyDescent="0.25">
      <c r="E5" s="184" t="s">
        <v>64</v>
      </c>
      <c r="F5" s="185"/>
      <c r="G5" s="185"/>
      <c r="H5" s="185"/>
      <c r="I5" s="185"/>
      <c r="J5" s="186"/>
      <c r="U5" s="184" t="s">
        <v>68</v>
      </c>
      <c r="V5" s="185"/>
      <c r="W5" s="185"/>
      <c r="X5" s="185"/>
      <c r="Y5" s="185"/>
      <c r="Z5" s="186"/>
      <c r="AK5" s="174" t="s">
        <v>69</v>
      </c>
      <c r="AL5" s="175"/>
      <c r="AM5" s="175"/>
      <c r="AN5" s="175"/>
      <c r="AO5" s="175"/>
      <c r="AP5" s="176"/>
      <c r="BA5" s="174" t="s">
        <v>70</v>
      </c>
      <c r="BB5" s="175"/>
      <c r="BC5" s="175"/>
      <c r="BD5" s="175"/>
      <c r="BE5" s="175"/>
      <c r="BF5" s="176"/>
      <c r="BQ5" s="144" t="s">
        <v>71</v>
      </c>
      <c r="BR5" s="145"/>
      <c r="BS5" s="145"/>
      <c r="BT5" s="145"/>
      <c r="BU5" s="145"/>
      <c r="BV5" s="146"/>
      <c r="CO5" s="165"/>
      <c r="CP5" s="166"/>
      <c r="CQ5" s="166"/>
      <c r="CR5" s="166"/>
      <c r="CS5" s="166"/>
      <c r="CT5" s="167"/>
      <c r="DE5" s="98" t="s">
        <v>831</v>
      </c>
      <c r="DF5" s="98" t="s">
        <v>1045</v>
      </c>
      <c r="DG5" s="2">
        <v>250</v>
      </c>
      <c r="DH5" s="2">
        <v>1500</v>
      </c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EN5" s="192" t="s">
        <v>217</v>
      </c>
      <c r="EO5" s="193"/>
      <c r="EP5" s="193"/>
      <c r="EQ5" s="193"/>
      <c r="ER5" s="193"/>
      <c r="ES5" s="194"/>
      <c r="FF5" s="159"/>
      <c r="FG5" s="160"/>
      <c r="FH5" s="160"/>
      <c r="FI5" s="160"/>
      <c r="FJ5" s="160"/>
      <c r="FK5" s="161"/>
    </row>
    <row r="6" spans="2:173" ht="21" customHeight="1" x14ac:dyDescent="0.35">
      <c r="E6" s="187"/>
      <c r="F6" s="188"/>
      <c r="G6" s="188"/>
      <c r="H6" s="188"/>
      <c r="I6" s="188"/>
      <c r="J6" s="189"/>
      <c r="U6" s="187"/>
      <c r="V6" s="188"/>
      <c r="W6" s="188"/>
      <c r="X6" s="188"/>
      <c r="Y6" s="188"/>
      <c r="Z6" s="189"/>
      <c r="AK6" s="177"/>
      <c r="AL6" s="178"/>
      <c r="AM6" s="178"/>
      <c r="AN6" s="178"/>
      <c r="AO6" s="178"/>
      <c r="AP6" s="179"/>
      <c r="BA6" s="177"/>
      <c r="BB6" s="178"/>
      <c r="BC6" s="178"/>
      <c r="BD6" s="178"/>
      <c r="BE6" s="178"/>
      <c r="BF6" s="179"/>
      <c r="BQ6" s="147"/>
      <c r="BR6" s="148"/>
      <c r="BS6" s="148"/>
      <c r="BT6" s="148"/>
      <c r="BU6" s="148"/>
      <c r="BV6" s="149"/>
      <c r="CK6" s="21" t="s">
        <v>218</v>
      </c>
      <c r="CL6" s="7" t="s">
        <v>1</v>
      </c>
      <c r="CM6" s="8" t="s">
        <v>2</v>
      </c>
      <c r="CN6" s="1" t="s">
        <v>3</v>
      </c>
      <c r="CO6" s="1" t="s">
        <v>4</v>
      </c>
      <c r="CP6" s="1" t="s">
        <v>5</v>
      </c>
      <c r="CQ6" s="1" t="s">
        <v>6</v>
      </c>
      <c r="CR6" s="1" t="s">
        <v>7</v>
      </c>
      <c r="CS6" s="1" t="s">
        <v>8</v>
      </c>
      <c r="CT6" s="1" t="s">
        <v>9</v>
      </c>
      <c r="CU6" s="1" t="s">
        <v>10</v>
      </c>
      <c r="CV6" s="1" t="s">
        <v>11</v>
      </c>
      <c r="CW6" s="1" t="s">
        <v>12</v>
      </c>
      <c r="CX6" s="1" t="s">
        <v>13</v>
      </c>
      <c r="CY6" s="1" t="s">
        <v>14</v>
      </c>
      <c r="DE6" s="99"/>
      <c r="DF6" s="99"/>
      <c r="DG6" s="2" t="s">
        <v>832</v>
      </c>
      <c r="DH6" s="2" t="s">
        <v>832</v>
      </c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EN6" s="195"/>
      <c r="EO6" s="196"/>
      <c r="EP6" s="196"/>
      <c r="EQ6" s="196"/>
      <c r="ER6" s="196"/>
      <c r="ES6" s="197"/>
      <c r="FC6" s="7"/>
      <c r="FD6" s="7"/>
      <c r="FE6" s="7"/>
      <c r="FF6" s="7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</row>
    <row r="7" spans="2:173" ht="21" customHeight="1" x14ac:dyDescent="0.35">
      <c r="B7" s="27" t="s">
        <v>0</v>
      </c>
      <c r="C7" s="1" t="s">
        <v>1</v>
      </c>
      <c r="D7" s="1" t="s">
        <v>2</v>
      </c>
      <c r="E7" s="20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27" t="s">
        <v>0</v>
      </c>
      <c r="S7" s="7" t="s">
        <v>1</v>
      </c>
      <c r="T7" s="1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26" t="s">
        <v>0</v>
      </c>
      <c r="AI7" s="7" t="s">
        <v>1</v>
      </c>
      <c r="AJ7" s="1" t="s">
        <v>2</v>
      </c>
      <c r="AK7" s="7" t="s">
        <v>3</v>
      </c>
      <c r="AL7" s="1" t="s">
        <v>4</v>
      </c>
      <c r="AM7" s="1" t="s">
        <v>5</v>
      </c>
      <c r="AN7" s="1" t="s">
        <v>6</v>
      </c>
      <c r="AO7" s="1" t="s">
        <v>7</v>
      </c>
      <c r="AP7" s="1" t="s">
        <v>8</v>
      </c>
      <c r="AQ7" s="1" t="s">
        <v>9</v>
      </c>
      <c r="AR7" s="1" t="s">
        <v>10</v>
      </c>
      <c r="AS7" s="1" t="s">
        <v>11</v>
      </c>
      <c r="AT7" s="1" t="s">
        <v>12</v>
      </c>
      <c r="AU7" s="1" t="s">
        <v>13</v>
      </c>
      <c r="AV7" s="1" t="s">
        <v>14</v>
      </c>
      <c r="AX7" s="25" t="s">
        <v>0</v>
      </c>
      <c r="AY7" s="7" t="s">
        <v>1</v>
      </c>
      <c r="AZ7" s="1" t="s">
        <v>2</v>
      </c>
      <c r="BA7" s="7" t="s">
        <v>3</v>
      </c>
      <c r="BB7" s="1" t="s">
        <v>4</v>
      </c>
      <c r="BC7" s="1" t="s">
        <v>5</v>
      </c>
      <c r="BD7" s="1" t="s">
        <v>6</v>
      </c>
      <c r="BE7" s="1" t="s">
        <v>7</v>
      </c>
      <c r="BF7" s="1" t="s">
        <v>8</v>
      </c>
      <c r="BG7" s="1" t="s">
        <v>9</v>
      </c>
      <c r="BH7" s="1" t="s">
        <v>10</v>
      </c>
      <c r="BI7" s="1" t="s">
        <v>11</v>
      </c>
      <c r="BJ7" s="1" t="s">
        <v>12</v>
      </c>
      <c r="BK7" s="1" t="s">
        <v>13</v>
      </c>
      <c r="BL7" s="1" t="s">
        <v>14</v>
      </c>
      <c r="BN7" s="24" t="s">
        <v>0</v>
      </c>
      <c r="BO7" s="7" t="s">
        <v>1</v>
      </c>
      <c r="BP7" s="1" t="s">
        <v>2</v>
      </c>
      <c r="BQ7" s="7" t="s">
        <v>3</v>
      </c>
      <c r="BR7" s="1" t="s">
        <v>4</v>
      </c>
      <c r="BS7" s="1" t="s">
        <v>5</v>
      </c>
      <c r="BT7" s="1" t="s">
        <v>6</v>
      </c>
      <c r="BU7" s="1" t="s">
        <v>7</v>
      </c>
      <c r="BV7" s="1" t="s">
        <v>8</v>
      </c>
      <c r="BW7" s="1" t="s">
        <v>9</v>
      </c>
      <c r="BX7" s="1" t="s">
        <v>10</v>
      </c>
      <c r="BY7" s="1" t="s">
        <v>11</v>
      </c>
      <c r="BZ7" s="1" t="s">
        <v>12</v>
      </c>
      <c r="CA7" s="1" t="s">
        <v>13</v>
      </c>
      <c r="CB7" s="1" t="s">
        <v>14</v>
      </c>
      <c r="CK7" s="22"/>
      <c r="CL7" s="1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DE7" s="98"/>
      <c r="DF7" s="98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EI7" s="18" t="s">
        <v>218</v>
      </c>
      <c r="EJ7" s="7" t="s">
        <v>1</v>
      </c>
      <c r="EK7" s="7" t="s">
        <v>2</v>
      </c>
      <c r="EL7" s="7" t="s">
        <v>3</v>
      </c>
      <c r="EM7" s="1" t="s">
        <v>4</v>
      </c>
      <c r="EN7" s="1" t="s">
        <v>5</v>
      </c>
      <c r="EO7" s="1" t="s">
        <v>6</v>
      </c>
      <c r="EP7" s="1" t="s">
        <v>7</v>
      </c>
      <c r="EQ7" s="1" t="s">
        <v>8</v>
      </c>
      <c r="ER7" s="1" t="s">
        <v>9</v>
      </c>
      <c r="ES7" s="1" t="s">
        <v>10</v>
      </c>
      <c r="ET7" s="1" t="s">
        <v>11</v>
      </c>
      <c r="EU7" s="1" t="s">
        <v>12</v>
      </c>
      <c r="EV7" s="1" t="s">
        <v>13</v>
      </c>
      <c r="EW7" s="1" t="s">
        <v>14</v>
      </c>
      <c r="FC7" s="98"/>
      <c r="FD7" s="98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</row>
    <row r="8" spans="2:173" x14ac:dyDescent="0.25">
      <c r="B8" s="152" t="s">
        <v>640</v>
      </c>
      <c r="C8" s="98" t="s">
        <v>695</v>
      </c>
      <c r="D8" s="2">
        <v>250</v>
      </c>
      <c r="E8" s="2">
        <v>1500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152" t="s">
        <v>225</v>
      </c>
      <c r="S8" s="98" t="s">
        <v>226</v>
      </c>
      <c r="T8" s="2">
        <v>250</v>
      </c>
      <c r="U8" s="2">
        <v>1500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150" t="s">
        <v>65</v>
      </c>
      <c r="AI8" s="98" t="s">
        <v>66</v>
      </c>
      <c r="AJ8" s="2">
        <v>250</v>
      </c>
      <c r="AK8" s="2">
        <v>1500</v>
      </c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X8" s="150" t="s">
        <v>229</v>
      </c>
      <c r="AY8" s="98" t="s">
        <v>185</v>
      </c>
      <c r="AZ8" s="2">
        <v>250</v>
      </c>
      <c r="BA8" s="2">
        <v>1500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N8" s="142" t="s">
        <v>65</v>
      </c>
      <c r="BO8" s="98" t="s">
        <v>66</v>
      </c>
      <c r="BP8" s="2">
        <v>250</v>
      </c>
      <c r="BQ8" s="2">
        <v>1500</v>
      </c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K8" s="23"/>
      <c r="CL8" s="13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DE8" s="99"/>
      <c r="DF8" s="99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EI8" s="154" t="s">
        <v>238</v>
      </c>
      <c r="EJ8" s="98" t="s">
        <v>239</v>
      </c>
      <c r="EK8" s="2">
        <v>250</v>
      </c>
      <c r="EL8" s="2">
        <v>1500</v>
      </c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FC8" s="99"/>
      <c r="FD8" s="99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</row>
    <row r="9" spans="2:173" x14ac:dyDescent="0.25">
      <c r="B9" s="153"/>
      <c r="C9" s="99"/>
      <c r="D9" s="2" t="s">
        <v>641</v>
      </c>
      <c r="E9" s="2" t="s">
        <v>641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153"/>
      <c r="S9" s="99"/>
      <c r="T9" s="2" t="s">
        <v>227</v>
      </c>
      <c r="U9" s="2" t="s">
        <v>645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151"/>
      <c r="AI9" s="99"/>
      <c r="AJ9" s="2" t="s">
        <v>67</v>
      </c>
      <c r="AK9" s="2" t="s">
        <v>812</v>
      </c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X9" s="151"/>
      <c r="AY9" s="99"/>
      <c r="AZ9" s="2" t="s">
        <v>230</v>
      </c>
      <c r="BA9" s="2" t="s">
        <v>230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N9" s="143"/>
      <c r="BO9" s="99"/>
      <c r="BP9" s="2" t="s">
        <v>67</v>
      </c>
      <c r="BQ9" s="2" t="s">
        <v>813</v>
      </c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K9" s="22"/>
      <c r="CL9" s="1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DE9" s="98"/>
      <c r="DF9" s="98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EI9" s="155"/>
      <c r="EJ9" s="99"/>
      <c r="EK9" s="2" t="s">
        <v>240</v>
      </c>
      <c r="EL9" s="2" t="s">
        <v>861</v>
      </c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FC9" s="98"/>
      <c r="FD9" s="98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</row>
    <row r="10" spans="2:173" x14ac:dyDescent="0.25">
      <c r="B10" s="152" t="s">
        <v>235</v>
      </c>
      <c r="C10" s="98" t="s">
        <v>236</v>
      </c>
      <c r="D10" s="2">
        <v>250</v>
      </c>
      <c r="E10" s="2">
        <v>1500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152" t="s">
        <v>238</v>
      </c>
      <c r="S10" s="98" t="s">
        <v>239</v>
      </c>
      <c r="T10" s="2">
        <v>250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150" t="s">
        <v>242</v>
      </c>
      <c r="AI10" s="98" t="s">
        <v>243</v>
      </c>
      <c r="AJ10" s="2">
        <v>250</v>
      </c>
      <c r="AK10" s="2">
        <v>1500</v>
      </c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X10" s="150" t="s">
        <v>232</v>
      </c>
      <c r="AY10" s="98" t="s">
        <v>233</v>
      </c>
      <c r="AZ10" s="2">
        <v>250</v>
      </c>
      <c r="BA10" s="2">
        <v>1500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N10" s="142" t="s">
        <v>275</v>
      </c>
      <c r="BO10" s="98"/>
      <c r="BP10" s="2">
        <v>250</v>
      </c>
      <c r="BQ10" s="2">
        <v>1500</v>
      </c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K10" s="23"/>
      <c r="CL10" s="13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DE10" s="99"/>
      <c r="DF10" s="99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EI10" s="154" t="s">
        <v>242</v>
      </c>
      <c r="EJ10" s="98" t="s">
        <v>243</v>
      </c>
      <c r="EK10" s="2">
        <v>250</v>
      </c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FC10" s="99"/>
      <c r="FD10" s="99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</row>
    <row r="11" spans="2:173" x14ac:dyDescent="0.25">
      <c r="B11" s="153"/>
      <c r="C11" s="99"/>
      <c r="D11" s="2" t="s">
        <v>237</v>
      </c>
      <c r="E11" s="2" t="s">
        <v>862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153"/>
      <c r="S11" s="99"/>
      <c r="T11" s="2" t="s">
        <v>241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151"/>
      <c r="AI11" s="99"/>
      <c r="AJ11" s="2" t="s">
        <v>244</v>
      </c>
      <c r="AK11" s="2" t="s">
        <v>815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X11" s="151"/>
      <c r="AY11" s="99"/>
      <c r="AZ11" s="2" t="s">
        <v>234</v>
      </c>
      <c r="BA11" s="84" t="s">
        <v>830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N11" s="143"/>
      <c r="BO11" s="99"/>
      <c r="BP11" s="2" t="s">
        <v>276</v>
      </c>
      <c r="BQ11" s="2" t="s">
        <v>276</v>
      </c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K11" s="22"/>
      <c r="CL11" s="1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DE11" s="98"/>
      <c r="DF11" s="98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EI11" s="155"/>
      <c r="EJ11" s="99"/>
      <c r="EK11" s="2" t="s">
        <v>244</v>
      </c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FC11" s="98"/>
      <c r="FD11" s="98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</row>
    <row r="12" spans="2:173" x14ac:dyDescent="0.25">
      <c r="B12" s="152" t="s">
        <v>245</v>
      </c>
      <c r="C12" s="98" t="s">
        <v>203</v>
      </c>
      <c r="D12" s="2">
        <v>250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152" t="s">
        <v>272</v>
      </c>
      <c r="S12" s="98" t="s">
        <v>271</v>
      </c>
      <c r="T12" s="2">
        <v>250</v>
      </c>
      <c r="U12" s="2">
        <v>1500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150" t="s">
        <v>228</v>
      </c>
      <c r="AI12" s="98" t="s">
        <v>1046</v>
      </c>
      <c r="AJ12" s="2">
        <v>250</v>
      </c>
      <c r="AK12" s="2">
        <v>1500</v>
      </c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X12" s="150" t="s">
        <v>831</v>
      </c>
      <c r="AY12" s="98" t="s">
        <v>1045</v>
      </c>
      <c r="AZ12" s="2">
        <v>250</v>
      </c>
      <c r="BA12" s="2">
        <v>1500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N12" s="142" t="s">
        <v>444</v>
      </c>
      <c r="BO12" s="98" t="s">
        <v>446</v>
      </c>
      <c r="BP12" s="2">
        <v>250</v>
      </c>
      <c r="BQ12" s="2">
        <v>1500</v>
      </c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K12" s="23"/>
      <c r="CL12" s="13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DE12" s="99"/>
      <c r="DF12" s="99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EI12" s="154" t="s">
        <v>270</v>
      </c>
      <c r="EJ12" s="98" t="s">
        <v>271</v>
      </c>
      <c r="EK12" s="2">
        <v>250</v>
      </c>
      <c r="EL12" s="2">
        <v>1500</v>
      </c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FC12" s="99"/>
      <c r="FD12" s="99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</row>
    <row r="13" spans="2:173" x14ac:dyDescent="0.25">
      <c r="B13" s="153"/>
      <c r="C13" s="99"/>
      <c r="D13" s="2" t="s">
        <v>246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153"/>
      <c r="S13" s="99"/>
      <c r="T13" s="2" t="s">
        <v>264</v>
      </c>
      <c r="U13" s="2" t="s">
        <v>871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151"/>
      <c r="AI13" s="99"/>
      <c r="AJ13" s="2" t="s">
        <v>247</v>
      </c>
      <c r="AK13" s="2" t="s">
        <v>247</v>
      </c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X13" s="151"/>
      <c r="AY13" s="99"/>
      <c r="AZ13" s="2" t="s">
        <v>830</v>
      </c>
      <c r="BA13" s="2" t="s">
        <v>830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N13" s="143"/>
      <c r="BO13" s="99"/>
      <c r="BP13" s="2" t="s">
        <v>445</v>
      </c>
      <c r="BQ13" s="2" t="s">
        <v>445</v>
      </c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K13" s="22"/>
      <c r="CL13" s="1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DE13" s="98"/>
      <c r="DF13" s="98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EI13" s="155"/>
      <c r="EJ13" s="99"/>
      <c r="EK13" s="2" t="s">
        <v>264</v>
      </c>
      <c r="EL13" s="2" t="s">
        <v>864</v>
      </c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FC13" s="98"/>
      <c r="FD13" s="98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</row>
    <row r="14" spans="2:173" x14ac:dyDescent="0.25">
      <c r="B14" s="152" t="s">
        <v>273</v>
      </c>
      <c r="C14" s="98"/>
      <c r="D14" s="2">
        <v>250</v>
      </c>
      <c r="E14" s="2">
        <v>1500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152" t="s">
        <v>65</v>
      </c>
      <c r="S14" s="98" t="s">
        <v>66</v>
      </c>
      <c r="T14" s="2">
        <v>250</v>
      </c>
      <c r="U14" s="2">
        <v>1500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150" t="s">
        <v>374</v>
      </c>
      <c r="AI14" s="98" t="s">
        <v>375</v>
      </c>
      <c r="AJ14" s="2">
        <v>250</v>
      </c>
      <c r="AK14" s="2">
        <v>1500</v>
      </c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X14" s="150"/>
      <c r="AY14" s="98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N14" s="142" t="s">
        <v>463</v>
      </c>
      <c r="BO14" s="98"/>
      <c r="BP14" s="2">
        <v>250</v>
      </c>
      <c r="BQ14" s="2">
        <v>1500</v>
      </c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K14" s="23"/>
      <c r="CL14" s="13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DE14" s="99"/>
      <c r="DF14" s="99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EI14" s="154" t="s">
        <v>371</v>
      </c>
      <c r="EJ14" s="98" t="s">
        <v>372</v>
      </c>
      <c r="EK14" s="2">
        <v>250</v>
      </c>
      <c r="EL14" s="2">
        <v>1500</v>
      </c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FC14" s="99"/>
      <c r="FD14" s="99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</row>
    <row r="15" spans="2:173" x14ac:dyDescent="0.25">
      <c r="B15" s="153"/>
      <c r="C15" s="99"/>
      <c r="D15" s="2" t="s">
        <v>274</v>
      </c>
      <c r="E15" s="2" t="s">
        <v>274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53"/>
      <c r="S15" s="99"/>
      <c r="T15" s="2" t="s">
        <v>67</v>
      </c>
      <c r="U15" s="2" t="s">
        <v>813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151"/>
      <c r="AI15" s="99"/>
      <c r="AJ15" s="2" t="s">
        <v>376</v>
      </c>
      <c r="AK15" s="2" t="s">
        <v>376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X15" s="151"/>
      <c r="AY15" s="99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N15" s="143"/>
      <c r="BO15" s="99"/>
      <c r="BP15" s="2" t="s">
        <v>464</v>
      </c>
      <c r="BQ15" s="2" t="s">
        <v>464</v>
      </c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K15" s="22"/>
      <c r="CL15" s="1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DE15" s="98"/>
      <c r="DF15" s="98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EI15" s="155"/>
      <c r="EJ15" s="99"/>
      <c r="EK15" s="2" t="s">
        <v>373</v>
      </c>
      <c r="EL15" s="2" t="s">
        <v>863</v>
      </c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FC15" s="98"/>
      <c r="FD15" s="98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</row>
    <row r="16" spans="2:173" x14ac:dyDescent="0.25">
      <c r="B16" s="152" t="s">
        <v>458</v>
      </c>
      <c r="C16" s="98"/>
      <c r="D16" s="47" t="s">
        <v>462</v>
      </c>
      <c r="E16" s="2">
        <v>1500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152" t="s">
        <v>457</v>
      </c>
      <c r="S16" s="98" t="s">
        <v>1037</v>
      </c>
      <c r="T16" s="2">
        <v>250</v>
      </c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150" t="s">
        <v>519</v>
      </c>
      <c r="AI16" s="98" t="s">
        <v>456</v>
      </c>
      <c r="AJ16" s="2">
        <v>250</v>
      </c>
      <c r="AK16" s="2">
        <v>1500</v>
      </c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X16" s="150"/>
      <c r="AY16" s="98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N16" s="142" t="s">
        <v>468</v>
      </c>
      <c r="BO16" s="98" t="s">
        <v>1038</v>
      </c>
      <c r="BP16" s="2">
        <v>250</v>
      </c>
      <c r="BQ16" s="2">
        <v>1500</v>
      </c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K16" s="23"/>
      <c r="CL16" s="13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DE16" s="99"/>
      <c r="DF16" s="99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EI16" s="154" t="s">
        <v>453</v>
      </c>
      <c r="EJ16" s="98" t="s">
        <v>454</v>
      </c>
      <c r="EK16" s="2">
        <v>250</v>
      </c>
      <c r="EL16" s="2">
        <v>1500</v>
      </c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FC16" s="99"/>
      <c r="FD16" s="99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</row>
    <row r="17" spans="2:173" x14ac:dyDescent="0.25">
      <c r="B17" s="153"/>
      <c r="C17" s="99"/>
      <c r="D17" s="47" t="s">
        <v>461</v>
      </c>
      <c r="E17" s="2" t="s">
        <v>461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153"/>
      <c r="S17" s="99"/>
      <c r="T17" s="2" t="s">
        <v>460</v>
      </c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151"/>
      <c r="AI17" s="99"/>
      <c r="AJ17" s="2" t="s">
        <v>455</v>
      </c>
      <c r="AK17" s="2" t="s">
        <v>455</v>
      </c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X17" s="151"/>
      <c r="AY17" s="99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N17" s="143"/>
      <c r="BO17" s="99"/>
      <c r="BP17" s="2" t="s">
        <v>467</v>
      </c>
      <c r="BQ17" s="2" t="s">
        <v>467</v>
      </c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K17" s="22"/>
      <c r="CL17" s="1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DE17" s="98"/>
      <c r="DF17" s="98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EI17" s="155"/>
      <c r="EJ17" s="99"/>
      <c r="EK17" s="2" t="s">
        <v>455</v>
      </c>
      <c r="EL17" s="2" t="s">
        <v>455</v>
      </c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FC17" s="98"/>
      <c r="FD17" s="98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</row>
    <row r="18" spans="2:173" x14ac:dyDescent="0.25">
      <c r="B18" s="152" t="s">
        <v>471</v>
      </c>
      <c r="C18" s="98"/>
      <c r="D18" s="32">
        <v>250</v>
      </c>
      <c r="E18" s="2">
        <v>1500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152" t="s">
        <v>463</v>
      </c>
      <c r="S18" s="98" t="s">
        <v>1035</v>
      </c>
      <c r="T18" s="2">
        <v>250</v>
      </c>
      <c r="U18" s="2">
        <v>1500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150" t="s">
        <v>465</v>
      </c>
      <c r="AI18" s="98"/>
      <c r="AJ18" s="2">
        <v>250</v>
      </c>
      <c r="AK18" s="2">
        <v>1500</v>
      </c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X18" s="150"/>
      <c r="AY18" s="98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N18" s="142" t="s">
        <v>469</v>
      </c>
      <c r="BO18" s="98" t="s">
        <v>1039</v>
      </c>
      <c r="BP18" s="2">
        <v>250</v>
      </c>
      <c r="BQ18" s="2">
        <v>1500</v>
      </c>
      <c r="BR18" s="2">
        <v>1500</v>
      </c>
      <c r="BS18" s="2"/>
      <c r="BT18" s="2"/>
      <c r="BU18" s="2"/>
      <c r="BV18" s="2"/>
      <c r="BW18" s="2"/>
      <c r="BX18" s="2"/>
      <c r="BY18" s="2"/>
      <c r="BZ18" s="2"/>
      <c r="CA18" s="2"/>
      <c r="CB18" s="2"/>
      <c r="CK18" s="23"/>
      <c r="CL18" s="13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DE18" s="99"/>
      <c r="DF18" s="99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EI18" s="154" t="s">
        <v>463</v>
      </c>
      <c r="EJ18" s="98" t="s">
        <v>1035</v>
      </c>
      <c r="EK18" s="47"/>
      <c r="EL18" s="2">
        <v>1500</v>
      </c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FC18" s="99"/>
      <c r="FD18" s="99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</row>
    <row r="19" spans="2:173" x14ac:dyDescent="0.25">
      <c r="B19" s="153"/>
      <c r="C19" s="99"/>
      <c r="D19" s="32" t="s">
        <v>472</v>
      </c>
      <c r="E19" s="32" t="s">
        <v>858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153"/>
      <c r="S19" s="99"/>
      <c r="T19" s="2" t="s">
        <v>460</v>
      </c>
      <c r="U19" s="2" t="s">
        <v>460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151"/>
      <c r="AI19" s="99"/>
      <c r="AJ19" s="2" t="s">
        <v>464</v>
      </c>
      <c r="AK19" s="2" t="s">
        <v>464</v>
      </c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X19" s="151"/>
      <c r="AY19" s="99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N19" s="143"/>
      <c r="BO19" s="99"/>
      <c r="BP19" s="2" t="s">
        <v>470</v>
      </c>
      <c r="BQ19" s="2" t="s">
        <v>470</v>
      </c>
      <c r="BR19" s="2" t="s">
        <v>470</v>
      </c>
      <c r="BS19" s="2"/>
      <c r="BT19" s="2"/>
      <c r="BU19" s="2"/>
      <c r="BV19" s="2"/>
      <c r="BW19" s="2"/>
      <c r="BX19" s="2"/>
      <c r="BY19" s="2"/>
      <c r="BZ19" s="2"/>
      <c r="CA19" s="2"/>
      <c r="CB19" s="2"/>
      <c r="CK19" s="22"/>
      <c r="CL19" s="1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DE19" s="98"/>
      <c r="DF19" s="98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EI19" s="155"/>
      <c r="EJ19" s="99"/>
      <c r="EK19" s="47"/>
      <c r="EL19" s="2" t="s">
        <v>466</v>
      </c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FC19" s="98"/>
      <c r="FD19" s="98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</row>
    <row r="20" spans="2:173" x14ac:dyDescent="0.25">
      <c r="B20" s="152" t="s">
        <v>473</v>
      </c>
      <c r="C20" s="98" t="s">
        <v>1036</v>
      </c>
      <c r="D20" s="32">
        <v>250</v>
      </c>
      <c r="E20" s="2">
        <v>1500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152" t="s">
        <v>807</v>
      </c>
      <c r="S20" s="98"/>
      <c r="T20" s="2">
        <v>250</v>
      </c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150" t="s">
        <v>473</v>
      </c>
      <c r="AI20" s="98"/>
      <c r="AJ20" s="2">
        <v>250</v>
      </c>
      <c r="AK20" s="2">
        <v>1500</v>
      </c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X20" s="150"/>
      <c r="AY20" s="98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N20" s="142" t="s">
        <v>473</v>
      </c>
      <c r="BO20" s="98" t="s">
        <v>1036</v>
      </c>
      <c r="BP20" s="2">
        <v>250</v>
      </c>
      <c r="BQ20" s="2">
        <v>1500</v>
      </c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K20" s="23"/>
      <c r="CL20" s="13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DE20" s="99"/>
      <c r="DF20" s="99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EI20" s="154" t="s">
        <v>757</v>
      </c>
      <c r="EJ20" s="98" t="s">
        <v>758</v>
      </c>
      <c r="EK20" s="2">
        <v>250</v>
      </c>
      <c r="EL20" s="2">
        <v>1500</v>
      </c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FC20" s="99"/>
      <c r="FD20" s="99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</row>
    <row r="21" spans="2:173" x14ac:dyDescent="0.25">
      <c r="B21" s="153"/>
      <c r="C21" s="99"/>
      <c r="D21" s="32" t="s">
        <v>474</v>
      </c>
      <c r="E21" s="32" t="s">
        <v>474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153"/>
      <c r="S21" s="99"/>
      <c r="T21" s="2" t="s">
        <v>808</v>
      </c>
      <c r="U21" s="2" t="s">
        <v>808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151"/>
      <c r="AI21" s="99"/>
      <c r="AJ21" s="2" t="s">
        <v>475</v>
      </c>
      <c r="AK21" s="2" t="s">
        <v>475</v>
      </c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X21" s="151"/>
      <c r="AY21" s="99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N21" s="143"/>
      <c r="BO21" s="99"/>
      <c r="BP21" s="2" t="s">
        <v>475</v>
      </c>
      <c r="BQ21" s="2" t="s">
        <v>475</v>
      </c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K21" s="22"/>
      <c r="CL21" s="1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DE21" s="98"/>
      <c r="DF21" s="98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EI21" s="155"/>
      <c r="EJ21" s="99"/>
      <c r="EK21" s="2" t="s">
        <v>759</v>
      </c>
      <c r="EL21" s="2" t="s">
        <v>759</v>
      </c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FC21" s="98"/>
      <c r="FD21" s="98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</row>
    <row r="22" spans="2:173" x14ac:dyDescent="0.25">
      <c r="B22" s="152" t="s">
        <v>692</v>
      </c>
      <c r="C22" s="98" t="s">
        <v>693</v>
      </c>
      <c r="D22" s="32">
        <v>250</v>
      </c>
      <c r="E22" s="2">
        <v>1500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152" t="s">
        <v>741</v>
      </c>
      <c r="S22" s="98" t="s">
        <v>742</v>
      </c>
      <c r="T22" s="2">
        <v>250</v>
      </c>
      <c r="U22" s="2">
        <v>1500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150" t="s">
        <v>444</v>
      </c>
      <c r="AI22" s="98" t="s">
        <v>446</v>
      </c>
      <c r="AJ22" s="2">
        <v>250</v>
      </c>
      <c r="AK22" s="2">
        <v>1500</v>
      </c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X22" s="150"/>
      <c r="AY22" s="98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N22" s="142" t="s">
        <v>623</v>
      </c>
      <c r="BO22" s="98"/>
      <c r="BP22" s="2">
        <v>250</v>
      </c>
      <c r="BQ22" s="2">
        <v>1500</v>
      </c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K22" s="23"/>
      <c r="CL22" s="13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DE22" s="99"/>
      <c r="DF22" s="99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EI22" s="154" t="s">
        <v>65</v>
      </c>
      <c r="EJ22" s="98"/>
      <c r="EK22" s="2">
        <v>250</v>
      </c>
      <c r="EL22" s="2">
        <v>1500</v>
      </c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FC22" s="99"/>
      <c r="FD22" s="99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</row>
    <row r="23" spans="2:173" x14ac:dyDescent="0.25">
      <c r="B23" s="153"/>
      <c r="C23" s="99"/>
      <c r="D23" s="32" t="s">
        <v>694</v>
      </c>
      <c r="E23" s="32" t="s">
        <v>694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53"/>
      <c r="S23" s="99"/>
      <c r="T23" s="2" t="s">
        <v>743</v>
      </c>
      <c r="U23" s="2" t="s">
        <v>743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151"/>
      <c r="AI23" s="99"/>
      <c r="AJ23" s="2" t="s">
        <v>445</v>
      </c>
      <c r="AK23" s="2" t="s">
        <v>445</v>
      </c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X23" s="151"/>
      <c r="AY23" s="99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N23" s="143"/>
      <c r="BO23" s="99"/>
      <c r="BP23" s="2" t="s">
        <v>624</v>
      </c>
      <c r="BQ23" s="2" t="s">
        <v>624</v>
      </c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K23" s="22"/>
      <c r="CL23" s="1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DE23" s="98"/>
      <c r="DF23" s="98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EI23" s="155"/>
      <c r="EJ23" s="99"/>
      <c r="EK23" s="2" t="s">
        <v>814</v>
      </c>
      <c r="EL23" s="2" t="s">
        <v>814</v>
      </c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FC23" s="98"/>
      <c r="FD23" s="98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</row>
    <row r="24" spans="2:173" x14ac:dyDescent="0.25">
      <c r="B24" s="152" t="s">
        <v>715</v>
      </c>
      <c r="C24" s="98" t="s">
        <v>716</v>
      </c>
      <c r="D24" s="2">
        <v>250</v>
      </c>
      <c r="E24" s="2">
        <v>1500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152" t="s">
        <v>805</v>
      </c>
      <c r="S24" s="98"/>
      <c r="T24" s="2">
        <v>250</v>
      </c>
      <c r="U24" s="2">
        <v>1500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150" t="s">
        <v>805</v>
      </c>
      <c r="AI24" s="98"/>
      <c r="AJ24" s="2">
        <v>250</v>
      </c>
      <c r="AK24" s="2">
        <v>1500</v>
      </c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X24" s="150"/>
      <c r="AY24" s="98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N24" s="142" t="s">
        <v>713</v>
      </c>
      <c r="BO24" s="98" t="s">
        <v>714</v>
      </c>
      <c r="BP24" s="2">
        <v>250</v>
      </c>
      <c r="BQ24" s="97">
        <v>1500</v>
      </c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K24" s="23"/>
      <c r="CL24" s="13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DE24" s="99"/>
      <c r="DF24" s="99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EI24" s="154" t="s">
        <v>859</v>
      </c>
      <c r="EJ24" s="98"/>
      <c r="EK24" s="2">
        <v>250</v>
      </c>
      <c r="EL24" s="2">
        <v>1500</v>
      </c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FC24" s="99"/>
      <c r="FD24" s="99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</row>
    <row r="25" spans="2:173" x14ac:dyDescent="0.25">
      <c r="B25" s="153"/>
      <c r="C25" s="99"/>
      <c r="D25" s="2" t="s">
        <v>744</v>
      </c>
      <c r="E25" s="2" t="s">
        <v>718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53"/>
      <c r="S25" s="99"/>
      <c r="T25" s="2" t="s">
        <v>806</v>
      </c>
      <c r="U25" s="2" t="s">
        <v>806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151"/>
      <c r="AI25" s="99"/>
      <c r="AJ25" s="2" t="s">
        <v>806</v>
      </c>
      <c r="AK25" s="2" t="s">
        <v>806</v>
      </c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X25" s="151"/>
      <c r="AY25" s="99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N25" s="143"/>
      <c r="BO25" s="99"/>
      <c r="BP25" s="2" t="s">
        <v>717</v>
      </c>
      <c r="BQ25" s="97" t="s">
        <v>998</v>
      </c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K25" s="22"/>
      <c r="CL25" s="1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DE25" s="98"/>
      <c r="DF25" s="98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EI25" s="155"/>
      <c r="EJ25" s="99"/>
      <c r="EK25" s="2" t="s">
        <v>860</v>
      </c>
      <c r="EL25" s="2" t="s">
        <v>860</v>
      </c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FC25" s="98"/>
      <c r="FD25" s="98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</row>
    <row r="26" spans="2:173" x14ac:dyDescent="0.25">
      <c r="B26" s="180"/>
      <c r="C26" s="182"/>
      <c r="D26" s="3"/>
      <c r="E26" s="3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152" t="s">
        <v>245</v>
      </c>
      <c r="S26" s="98"/>
      <c r="T26" s="2">
        <v>250</v>
      </c>
      <c r="U26" s="2">
        <v>1500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150" t="s">
        <v>810</v>
      </c>
      <c r="AI26" s="98" t="s">
        <v>1047</v>
      </c>
      <c r="AJ26" s="2">
        <v>251</v>
      </c>
      <c r="AK26" s="2">
        <v>1500</v>
      </c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X26" s="150"/>
      <c r="AY26" s="98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N26" s="142" t="s">
        <v>374</v>
      </c>
      <c r="BO26" s="98" t="s">
        <v>375</v>
      </c>
      <c r="BP26" s="2">
        <v>250</v>
      </c>
      <c r="BQ26" s="2">
        <v>1500</v>
      </c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K26" s="23"/>
      <c r="CL26" s="13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DE26" s="99"/>
      <c r="DF26" s="99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EI26" s="154" t="s">
        <v>959</v>
      </c>
      <c r="EJ26" s="98" t="s">
        <v>960</v>
      </c>
      <c r="EK26" s="2">
        <v>250</v>
      </c>
      <c r="EL26" s="2">
        <v>1500</v>
      </c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FC26" s="99"/>
      <c r="FD26" s="99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</row>
    <row r="27" spans="2:173" x14ac:dyDescent="0.25">
      <c r="B27" s="181"/>
      <c r="C27" s="183"/>
      <c r="D27" s="3"/>
      <c r="E27" s="3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153"/>
      <c r="S27" s="99"/>
      <c r="T27" s="2" t="s">
        <v>870</v>
      </c>
      <c r="U27" s="2" t="s">
        <v>870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151"/>
      <c r="AI27" s="99"/>
      <c r="AJ27" s="2" t="s">
        <v>811</v>
      </c>
      <c r="AK27" s="2" t="s">
        <v>811</v>
      </c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X27" s="151"/>
      <c r="AY27" s="99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N27" s="143"/>
      <c r="BO27" s="99"/>
      <c r="BP27" s="2" t="s">
        <v>719</v>
      </c>
      <c r="BQ27" s="2" t="s">
        <v>720</v>
      </c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K27" s="22"/>
      <c r="CL27" s="1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DE27" s="98"/>
      <c r="DF27" s="98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EI27" s="155"/>
      <c r="EJ27" s="99"/>
      <c r="EK27" s="2" t="s">
        <v>961</v>
      </c>
      <c r="EL27" s="2" t="s">
        <v>961</v>
      </c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FC27" s="98"/>
      <c r="FD27" s="98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</row>
    <row r="28" spans="2:173" x14ac:dyDescent="0.25">
      <c r="B28" s="180"/>
      <c r="C28" s="182"/>
      <c r="D28" s="3"/>
      <c r="E28" s="3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152"/>
      <c r="S28" s="98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150"/>
      <c r="AI28" s="98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X28" s="150"/>
      <c r="AY28" s="98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N28" s="142" t="s">
        <v>745</v>
      </c>
      <c r="BO28" s="98" t="s">
        <v>1040</v>
      </c>
      <c r="BP28" s="2">
        <v>250</v>
      </c>
      <c r="BQ28" s="2">
        <v>1500</v>
      </c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K28" s="23"/>
      <c r="CL28" s="13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DE28" s="99"/>
      <c r="DF28" s="99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EI28" s="154"/>
      <c r="EJ28" s="98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FC28" s="99"/>
      <c r="FD28" s="99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</row>
    <row r="29" spans="2:173" x14ac:dyDescent="0.25">
      <c r="B29" s="181"/>
      <c r="C29" s="183"/>
      <c r="D29" s="3"/>
      <c r="E29" s="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153"/>
      <c r="S29" s="99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151"/>
      <c r="AI29" s="99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X29" s="151"/>
      <c r="AY29" s="99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N29" s="143"/>
      <c r="BO29" s="99"/>
      <c r="BP29" s="2" t="s">
        <v>755</v>
      </c>
      <c r="BQ29" s="2" t="s">
        <v>755</v>
      </c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K29" s="22"/>
      <c r="CL29" s="1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DE29" s="98"/>
      <c r="DF29" s="98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EI29" s="155"/>
      <c r="EJ29" s="99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FC29" s="98"/>
      <c r="FD29" s="98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</row>
    <row r="30" spans="2:173" x14ac:dyDescent="0.25">
      <c r="B30" s="180"/>
      <c r="C30" s="182"/>
      <c r="D30" s="3"/>
      <c r="E30" s="3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152"/>
      <c r="S30" s="98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150"/>
      <c r="AI30" s="98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X30" s="150"/>
      <c r="AY30" s="98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N30" s="142" t="s">
        <v>746</v>
      </c>
      <c r="BO30" s="98" t="s">
        <v>747</v>
      </c>
      <c r="BP30" s="2">
        <v>250</v>
      </c>
      <c r="BQ30" s="2">
        <v>1500</v>
      </c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K30" s="23"/>
      <c r="CL30" s="13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DE30" s="99"/>
      <c r="DF30" s="99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EI30" s="154"/>
      <c r="EJ30" s="98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FC30" s="99"/>
      <c r="FD30" s="99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</row>
    <row r="31" spans="2:173" x14ac:dyDescent="0.25">
      <c r="B31" s="181"/>
      <c r="C31" s="183"/>
      <c r="D31" s="3"/>
      <c r="E31" s="3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53"/>
      <c r="S31" s="99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151"/>
      <c r="AI31" s="99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X31" s="151"/>
      <c r="AY31" s="99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N31" s="143"/>
      <c r="BO31" s="99"/>
      <c r="BP31" s="2" t="s">
        <v>756</v>
      </c>
      <c r="BQ31" s="2" t="s">
        <v>756</v>
      </c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K31" s="22"/>
      <c r="CL31" s="1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DE31" s="98"/>
      <c r="DF31" s="98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EI31" s="155"/>
      <c r="EJ31" s="99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FC31" s="98"/>
      <c r="FD31" s="98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</row>
    <row r="32" spans="2:173" x14ac:dyDescent="0.25">
      <c r="B32" s="152"/>
      <c r="C32" s="98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152"/>
      <c r="S32" s="98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150"/>
      <c r="AI32" s="98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X32" s="150"/>
      <c r="AY32" s="98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N32" s="142" t="s">
        <v>748</v>
      </c>
      <c r="BO32" s="98" t="s">
        <v>749</v>
      </c>
      <c r="BP32" s="2">
        <v>250</v>
      </c>
      <c r="BQ32" s="2">
        <v>1500</v>
      </c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K32" s="23"/>
      <c r="CL32" s="13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DE32" s="99"/>
      <c r="DF32" s="99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EI32" s="154"/>
      <c r="EJ32" s="98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FC32" s="99"/>
      <c r="FD32" s="99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</row>
    <row r="33" spans="2:173" x14ac:dyDescent="0.25">
      <c r="B33" s="153"/>
      <c r="C33" s="9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153"/>
      <c r="S33" s="99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151"/>
      <c r="AI33" s="99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X33" s="151"/>
      <c r="AY33" s="99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N33" s="143"/>
      <c r="BO33" s="99"/>
      <c r="BP33" s="2" t="s">
        <v>754</v>
      </c>
      <c r="BQ33" s="2" t="s">
        <v>754</v>
      </c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K33" s="190"/>
      <c r="CL33" s="98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EI33" s="155"/>
      <c r="EJ33" s="99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FC33" s="98"/>
      <c r="FD33" s="98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</row>
    <row r="34" spans="2:173" x14ac:dyDescent="0.25">
      <c r="B34" s="152"/>
      <c r="C34" s="98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152"/>
      <c r="S34" s="98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X34" s="150"/>
      <c r="AY34" s="98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N34" s="142" t="s">
        <v>805</v>
      </c>
      <c r="BO34" s="98"/>
      <c r="BP34" s="2">
        <v>250</v>
      </c>
      <c r="BQ34" s="2">
        <v>1500</v>
      </c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K34" s="191"/>
      <c r="CL34" s="99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EI34" s="154"/>
      <c r="EJ34" s="98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FC34" s="99"/>
      <c r="FD34" s="99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</row>
    <row r="35" spans="2:173" x14ac:dyDescent="0.25">
      <c r="B35" s="153"/>
      <c r="C35" s="9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153"/>
      <c r="S35" s="99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X35" s="151"/>
      <c r="AY35" s="99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N35" s="143"/>
      <c r="BO35" s="99"/>
      <c r="BP35" s="2" t="s">
        <v>806</v>
      </c>
      <c r="BQ35" s="2" t="s">
        <v>806</v>
      </c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EI35" s="155"/>
      <c r="EJ35" s="99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</row>
    <row r="36" spans="2:173" x14ac:dyDescent="0.25">
      <c r="BN36" s="142" t="s">
        <v>752</v>
      </c>
      <c r="BO36" s="98" t="s">
        <v>751</v>
      </c>
      <c r="BP36" s="2">
        <v>250</v>
      </c>
      <c r="BQ36" s="2">
        <v>1500</v>
      </c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</row>
    <row r="37" spans="2:173" x14ac:dyDescent="0.25">
      <c r="BN37" s="143"/>
      <c r="BO37" s="99"/>
      <c r="BP37" s="2" t="s">
        <v>753</v>
      </c>
      <c r="BQ37" s="2" t="s">
        <v>753</v>
      </c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</row>
    <row r="38" spans="2:173" x14ac:dyDescent="0.25">
      <c r="BN38" s="142" t="s">
        <v>872</v>
      </c>
      <c r="BO38" s="98" t="s">
        <v>873</v>
      </c>
      <c r="BP38" s="2"/>
      <c r="BQ38" s="2">
        <v>1500</v>
      </c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</row>
    <row r="39" spans="2:173" x14ac:dyDescent="0.25">
      <c r="BN39" s="143"/>
      <c r="BO39" s="99"/>
      <c r="BP39" s="2"/>
      <c r="BQ39" s="2" t="s">
        <v>874</v>
      </c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</row>
    <row r="40" spans="2:173" x14ac:dyDescent="0.25">
      <c r="BN40" s="142" t="s">
        <v>945</v>
      </c>
      <c r="BO40" s="98" t="s">
        <v>1041</v>
      </c>
      <c r="BP40" s="2">
        <v>250</v>
      </c>
      <c r="BQ40" s="2">
        <v>1500</v>
      </c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</row>
    <row r="41" spans="2:173" ht="15.75" x14ac:dyDescent="0.25">
      <c r="BN41" s="143"/>
      <c r="BO41" s="99"/>
      <c r="BP41" s="88" t="s">
        <v>946</v>
      </c>
      <c r="BQ41" s="88" t="s">
        <v>946</v>
      </c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</row>
    <row r="42" spans="2:173" x14ac:dyDescent="0.25">
      <c r="BN42" s="142" t="s">
        <v>982</v>
      </c>
      <c r="BO42" s="98" t="s">
        <v>1042</v>
      </c>
      <c r="BP42" s="2">
        <v>250</v>
      </c>
      <c r="BQ42" s="2">
        <v>1500</v>
      </c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</row>
    <row r="43" spans="2:173" ht="15.75" x14ac:dyDescent="0.25">
      <c r="BN43" s="143"/>
      <c r="BO43" s="99"/>
      <c r="BP43" s="88" t="s">
        <v>983</v>
      </c>
      <c r="BQ43" s="88" t="s">
        <v>983</v>
      </c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</row>
    <row r="44" spans="2:173" x14ac:dyDescent="0.25">
      <c r="BN44" s="142" t="s">
        <v>984</v>
      </c>
      <c r="BO44" s="98" t="s">
        <v>1043</v>
      </c>
      <c r="BP44" s="2">
        <v>250</v>
      </c>
      <c r="BQ44" s="2">
        <v>1500</v>
      </c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</row>
    <row r="45" spans="2:173" ht="15.75" x14ac:dyDescent="0.25">
      <c r="BN45" s="143"/>
      <c r="BO45" s="99"/>
      <c r="BP45" s="88" t="s">
        <v>985</v>
      </c>
      <c r="BQ45" s="88" t="s">
        <v>985</v>
      </c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</row>
    <row r="46" spans="2:173" x14ac:dyDescent="0.25">
      <c r="BN46" s="142" t="s">
        <v>999</v>
      </c>
      <c r="BO46" s="98"/>
      <c r="BP46" s="2"/>
      <c r="BQ46" s="2">
        <v>1500</v>
      </c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</row>
    <row r="47" spans="2:173" x14ac:dyDescent="0.25">
      <c r="BN47" s="143"/>
      <c r="BO47" s="99"/>
      <c r="BP47" s="2"/>
      <c r="BQ47" s="2" t="s">
        <v>1000</v>
      </c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</row>
    <row r="48" spans="2:173" x14ac:dyDescent="0.25">
      <c r="BN48" s="142"/>
      <c r="BO48" s="98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</row>
    <row r="49" spans="66:80" x14ac:dyDescent="0.25">
      <c r="BN49" s="143"/>
      <c r="BO49" s="99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</row>
    <row r="50" spans="66:80" x14ac:dyDescent="0.25">
      <c r="BN50" s="142"/>
      <c r="BO50" s="98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</row>
    <row r="51" spans="66:80" x14ac:dyDescent="0.25">
      <c r="BN51" s="143"/>
      <c r="BO51" s="99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</row>
    <row r="52" spans="66:80" x14ac:dyDescent="0.25">
      <c r="BN52" s="142"/>
      <c r="BO52" s="98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</row>
    <row r="53" spans="66:80" x14ac:dyDescent="0.25">
      <c r="BN53" s="143"/>
      <c r="BO53" s="99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</row>
  </sheetData>
  <mergeCells count="251">
    <mergeCell ref="BN34:BN35"/>
    <mergeCell ref="BO34:BO35"/>
    <mergeCell ref="C30:C31"/>
    <mergeCell ref="B30:B31"/>
    <mergeCell ref="BN38:BN39"/>
    <mergeCell ref="BO38:BO39"/>
    <mergeCell ref="DE25:DE26"/>
    <mergeCell ref="DE27:DE28"/>
    <mergeCell ref="DF5:DF6"/>
    <mergeCell ref="DF7:DF8"/>
    <mergeCell ref="DF9:DF10"/>
    <mergeCell ref="DF11:DF12"/>
    <mergeCell ref="DF13:DF14"/>
    <mergeCell ref="DF15:DF16"/>
    <mergeCell ref="DF17:DF18"/>
    <mergeCell ref="DF19:DF20"/>
    <mergeCell ref="DF21:DF22"/>
    <mergeCell ref="DF23:DF24"/>
    <mergeCell ref="DF25:DF26"/>
    <mergeCell ref="DF27:DF28"/>
    <mergeCell ref="DE5:DE6"/>
    <mergeCell ref="DE7:DE8"/>
    <mergeCell ref="DE9:DE10"/>
    <mergeCell ref="DE11:DE12"/>
    <mergeCell ref="DE13:DE14"/>
    <mergeCell ref="DE15:DE16"/>
    <mergeCell ref="DE17:DE18"/>
    <mergeCell ref="DE19:DE20"/>
    <mergeCell ref="DE21:DE22"/>
    <mergeCell ref="EN5:ES6"/>
    <mergeCell ref="EI8:EI9"/>
    <mergeCell ref="EJ8:EJ9"/>
    <mergeCell ref="EI10:EI11"/>
    <mergeCell ref="EJ10:EJ11"/>
    <mergeCell ref="EI12:EI13"/>
    <mergeCell ref="EJ12:EJ13"/>
    <mergeCell ref="EI14:EI15"/>
    <mergeCell ref="EJ14:EJ15"/>
    <mergeCell ref="E5:J6"/>
    <mergeCell ref="B8:B9"/>
    <mergeCell ref="C8:C9"/>
    <mergeCell ref="B10:B11"/>
    <mergeCell ref="C10:C11"/>
    <mergeCell ref="B12:B13"/>
    <mergeCell ref="C12:C13"/>
    <mergeCell ref="CK33:CK34"/>
    <mergeCell ref="CL33:CL34"/>
    <mergeCell ref="B34:B35"/>
    <mergeCell ref="C34:C35"/>
    <mergeCell ref="U5:Z6"/>
    <mergeCell ref="R8:R9"/>
    <mergeCell ref="S8:S9"/>
    <mergeCell ref="R10:R11"/>
    <mergeCell ref="S10:S11"/>
    <mergeCell ref="R12:R13"/>
    <mergeCell ref="R22:R23"/>
    <mergeCell ref="S22:S23"/>
    <mergeCell ref="R24:R25"/>
    <mergeCell ref="S24:S25"/>
    <mergeCell ref="R20:R21"/>
    <mergeCell ref="S20:S21"/>
    <mergeCell ref="B20:B21"/>
    <mergeCell ref="B32:B33"/>
    <mergeCell ref="C32:C33"/>
    <mergeCell ref="B18:B19"/>
    <mergeCell ref="C18:C19"/>
    <mergeCell ref="C20:C21"/>
    <mergeCell ref="B22:B23"/>
    <mergeCell ref="C22:C23"/>
    <mergeCell ref="B14:B15"/>
    <mergeCell ref="C14:C15"/>
    <mergeCell ref="B16:B17"/>
    <mergeCell ref="C16:C17"/>
    <mergeCell ref="B24:B25"/>
    <mergeCell ref="B26:B27"/>
    <mergeCell ref="C26:C27"/>
    <mergeCell ref="B28:B29"/>
    <mergeCell ref="C28:C29"/>
    <mergeCell ref="R34:R35"/>
    <mergeCell ref="S34:S35"/>
    <mergeCell ref="R26:R27"/>
    <mergeCell ref="S26:S27"/>
    <mergeCell ref="R28:R29"/>
    <mergeCell ref="S28:S29"/>
    <mergeCell ref="R30:R31"/>
    <mergeCell ref="S30:S31"/>
    <mergeCell ref="S12:S13"/>
    <mergeCell ref="R14:R15"/>
    <mergeCell ref="S14:S15"/>
    <mergeCell ref="R16:R17"/>
    <mergeCell ref="S16:S17"/>
    <mergeCell ref="R18:R19"/>
    <mergeCell ref="S18:S19"/>
    <mergeCell ref="AK5:AP6"/>
    <mergeCell ref="AH8:AH9"/>
    <mergeCell ref="AI8:AI9"/>
    <mergeCell ref="AH10:AH11"/>
    <mergeCell ref="AX16:AX17"/>
    <mergeCell ref="AY16:AY17"/>
    <mergeCell ref="AX18:AX19"/>
    <mergeCell ref="AY18:AY19"/>
    <mergeCell ref="AI10:AI11"/>
    <mergeCell ref="AH12:AH13"/>
    <mergeCell ref="AI12:AI13"/>
    <mergeCell ref="AH16:AH17"/>
    <mergeCell ref="AI16:AI17"/>
    <mergeCell ref="FF4:FK5"/>
    <mergeCell ref="CO4:CT5"/>
    <mergeCell ref="DI2:DN3"/>
    <mergeCell ref="AX20:AX21"/>
    <mergeCell ref="AY20:AY21"/>
    <mergeCell ref="AH32:AH33"/>
    <mergeCell ref="AI32:AI33"/>
    <mergeCell ref="BA5:BF6"/>
    <mergeCell ref="AX8:AX9"/>
    <mergeCell ref="AY8:AY9"/>
    <mergeCell ref="AX10:AX11"/>
    <mergeCell ref="AY10:AY11"/>
    <mergeCell ref="AX12:AX13"/>
    <mergeCell ref="AY12:AY13"/>
    <mergeCell ref="AX14:AX15"/>
    <mergeCell ref="AH26:AH27"/>
    <mergeCell ref="AI26:AI27"/>
    <mergeCell ref="AH28:AH29"/>
    <mergeCell ref="AI28:AI29"/>
    <mergeCell ref="AH30:AH31"/>
    <mergeCell ref="AI30:AI31"/>
    <mergeCell ref="AH14:AH15"/>
    <mergeCell ref="AI14:AI15"/>
    <mergeCell ref="AY14:AY15"/>
    <mergeCell ref="FC7:FC8"/>
    <mergeCell ref="FD7:FD8"/>
    <mergeCell ref="FC9:FC10"/>
    <mergeCell ref="FD9:FD10"/>
    <mergeCell ref="FC11:FC12"/>
    <mergeCell ref="FD11:FD12"/>
    <mergeCell ref="FC13:FC14"/>
    <mergeCell ref="FD13:FD14"/>
    <mergeCell ref="FC15:FC16"/>
    <mergeCell ref="FD15:FD16"/>
    <mergeCell ref="FC17:FC18"/>
    <mergeCell ref="FD17:FD18"/>
    <mergeCell ref="FC19:FC20"/>
    <mergeCell ref="FD19:FD20"/>
    <mergeCell ref="FC21:FC22"/>
    <mergeCell ref="FD21:FD22"/>
    <mergeCell ref="FC23:FC24"/>
    <mergeCell ref="FD23:FD24"/>
    <mergeCell ref="FC25:FC26"/>
    <mergeCell ref="FD25:FD26"/>
    <mergeCell ref="FC27:FC28"/>
    <mergeCell ref="FD27:FD28"/>
    <mergeCell ref="FC29:FC30"/>
    <mergeCell ref="FD29:FD30"/>
    <mergeCell ref="FC31:FC32"/>
    <mergeCell ref="FD31:FD32"/>
    <mergeCell ref="EJ30:EJ31"/>
    <mergeCell ref="EI32:EI33"/>
    <mergeCell ref="EJ32:EJ33"/>
    <mergeCell ref="FC33:FC34"/>
    <mergeCell ref="FD33:FD34"/>
    <mergeCell ref="EI34:EI35"/>
    <mergeCell ref="EJ34:EJ35"/>
    <mergeCell ref="EI26:EI27"/>
    <mergeCell ref="EJ26:EJ27"/>
    <mergeCell ref="BO36:BO37"/>
    <mergeCell ref="BN36:BN37"/>
    <mergeCell ref="BO14:BO15"/>
    <mergeCell ref="BN14:BN15"/>
    <mergeCell ref="BO26:BO27"/>
    <mergeCell ref="BN26:BN27"/>
    <mergeCell ref="EI16:EI17"/>
    <mergeCell ref="EJ16:EJ17"/>
    <mergeCell ref="EI28:EI29"/>
    <mergeCell ref="EJ28:EJ29"/>
    <mergeCell ref="EI30:EI31"/>
    <mergeCell ref="DE29:DE30"/>
    <mergeCell ref="DF29:DF30"/>
    <mergeCell ref="DE31:DE32"/>
    <mergeCell ref="DF31:DF32"/>
    <mergeCell ref="EI18:EI19"/>
    <mergeCell ref="EJ18:EJ19"/>
    <mergeCell ref="EI20:EI21"/>
    <mergeCell ref="EJ20:EJ21"/>
    <mergeCell ref="EI22:EI23"/>
    <mergeCell ref="EJ22:EJ23"/>
    <mergeCell ref="EI24:EI25"/>
    <mergeCell ref="EJ24:EJ25"/>
    <mergeCell ref="DE23:DE24"/>
    <mergeCell ref="BO18:BO19"/>
    <mergeCell ref="BN18:BN19"/>
    <mergeCell ref="BO16:BO17"/>
    <mergeCell ref="BN16:BN17"/>
    <mergeCell ref="BO32:BO33"/>
    <mergeCell ref="BN32:BN33"/>
    <mergeCell ref="BO30:BO31"/>
    <mergeCell ref="BN30:BN31"/>
    <mergeCell ref="C24:C25"/>
    <mergeCell ref="BN28:BN29"/>
    <mergeCell ref="BO28:BO29"/>
    <mergeCell ref="AY26:AY27"/>
    <mergeCell ref="AX26:AX27"/>
    <mergeCell ref="AY24:AY25"/>
    <mergeCell ref="AH22:AH23"/>
    <mergeCell ref="AI22:AI23"/>
    <mergeCell ref="AH24:AH25"/>
    <mergeCell ref="AI24:AI25"/>
    <mergeCell ref="AH20:AH21"/>
    <mergeCell ref="AI20:AI21"/>
    <mergeCell ref="AH18:AH19"/>
    <mergeCell ref="AI18:AI19"/>
    <mergeCell ref="R32:R33"/>
    <mergeCell ref="S32:S33"/>
    <mergeCell ref="BQ5:BV6"/>
    <mergeCell ref="AY34:AY35"/>
    <mergeCell ref="AX34:AX35"/>
    <mergeCell ref="AX24:AX25"/>
    <mergeCell ref="AY22:AY23"/>
    <mergeCell ref="AX22:AX23"/>
    <mergeCell ref="AY28:AY29"/>
    <mergeCell ref="AX28:AX29"/>
    <mergeCell ref="AY32:AY33"/>
    <mergeCell ref="AX32:AX33"/>
    <mergeCell ref="AY30:AY31"/>
    <mergeCell ref="AX30:AX31"/>
    <mergeCell ref="BO12:BO13"/>
    <mergeCell ref="BN12:BN13"/>
    <mergeCell ref="BO10:BO11"/>
    <mergeCell ref="BN10:BN11"/>
    <mergeCell ref="BO8:BO9"/>
    <mergeCell ref="BN8:BN9"/>
    <mergeCell ref="BO24:BO25"/>
    <mergeCell ref="BN24:BN25"/>
    <mergeCell ref="BO22:BO23"/>
    <mergeCell ref="BN22:BN23"/>
    <mergeCell ref="BO20:BO21"/>
    <mergeCell ref="BN20:BN21"/>
    <mergeCell ref="BN50:BN51"/>
    <mergeCell ref="BO50:BO51"/>
    <mergeCell ref="BN52:BN53"/>
    <mergeCell ref="BO52:BO53"/>
    <mergeCell ref="BN40:BN41"/>
    <mergeCell ref="BO40:BO41"/>
    <mergeCell ref="BN42:BN43"/>
    <mergeCell ref="BO42:BO43"/>
    <mergeCell ref="BN44:BN45"/>
    <mergeCell ref="BO44:BO45"/>
    <mergeCell ref="BN46:BN47"/>
    <mergeCell ref="BO46:BO47"/>
    <mergeCell ref="BN48:BN49"/>
    <mergeCell ref="BO48:BO49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C63"/>
  <sheetViews>
    <sheetView rightToLeft="1" topLeftCell="FG1" zoomScaleNormal="100" workbookViewId="0">
      <selection activeCell="FR7" sqref="FR7:FR12"/>
    </sheetView>
  </sheetViews>
  <sheetFormatPr defaultColWidth="9.140625" defaultRowHeight="15" x14ac:dyDescent="0.25"/>
  <cols>
    <col min="2" max="2" width="15.140625" bestFit="1" customWidth="1"/>
    <col min="3" max="3" width="25.140625" bestFit="1" customWidth="1"/>
    <col min="4" max="4" width="24.5703125" bestFit="1" customWidth="1"/>
    <col min="5" max="5" width="26.7109375" customWidth="1"/>
    <col min="6" max="6" width="16.85546875" customWidth="1"/>
    <col min="7" max="7" width="14.42578125" customWidth="1"/>
    <col min="8" max="8" width="16" customWidth="1"/>
    <col min="9" max="13" width="11" bestFit="1" customWidth="1"/>
    <col min="18" max="18" width="15.140625" bestFit="1" customWidth="1"/>
    <col min="19" max="19" width="25.5703125" bestFit="1" customWidth="1"/>
    <col min="20" max="21" width="42" bestFit="1" customWidth="1"/>
    <col min="34" max="34" width="20.85546875" customWidth="1"/>
    <col min="35" max="35" width="26.5703125" bestFit="1" customWidth="1"/>
    <col min="36" max="36" width="21.140625" customWidth="1"/>
    <col min="37" max="37" width="24.7109375" customWidth="1"/>
    <col min="38" max="38" width="35.28515625" bestFit="1" customWidth="1"/>
    <col min="40" max="46" width="11" bestFit="1" customWidth="1"/>
    <col min="49" max="49" width="11" bestFit="1" customWidth="1"/>
    <col min="50" max="50" width="15.140625" bestFit="1" customWidth="1"/>
    <col min="51" max="52" width="27" bestFit="1" customWidth="1"/>
    <col min="53" max="53" width="22.140625" customWidth="1"/>
    <col min="54" max="54" width="25.85546875" bestFit="1" customWidth="1"/>
    <col min="55" max="56" width="24" bestFit="1" customWidth="1"/>
    <col min="57" max="57" width="12.5703125" customWidth="1"/>
    <col min="58" max="58" width="12.7109375" customWidth="1"/>
    <col min="59" max="59" width="15.5703125" customWidth="1"/>
    <col min="60" max="60" width="13.5703125" customWidth="1"/>
    <col min="61" max="61" width="14.85546875" customWidth="1"/>
    <col min="62" max="62" width="15.28515625" customWidth="1"/>
    <col min="63" max="63" width="15" customWidth="1"/>
    <col min="64" max="64" width="16.140625" customWidth="1"/>
    <col min="65" max="65" width="13.5703125" customWidth="1"/>
    <col min="66" max="66" width="15.5703125" customWidth="1"/>
    <col min="67" max="67" width="26.5703125" customWidth="1"/>
    <col min="68" max="68" width="26.5703125" bestFit="1" customWidth="1"/>
    <col min="69" max="69" width="28.140625" customWidth="1"/>
    <col min="70" max="70" width="22.140625" customWidth="1"/>
    <col min="71" max="71" width="30.7109375" bestFit="1" customWidth="1"/>
    <col min="72" max="72" width="23.140625" customWidth="1"/>
    <col min="85" max="85" width="16.140625" bestFit="1" customWidth="1"/>
    <col min="86" max="86" width="25.5703125" bestFit="1" customWidth="1"/>
    <col min="87" max="87" width="25.28515625" bestFit="1" customWidth="1"/>
    <col min="88" max="89" width="24.5703125" bestFit="1" customWidth="1"/>
    <col min="90" max="90" width="12.5703125" customWidth="1"/>
    <col min="91" max="93" width="11" bestFit="1" customWidth="1"/>
    <col min="94" max="94" width="18" bestFit="1" customWidth="1"/>
    <col min="101" max="101" width="11" bestFit="1" customWidth="1"/>
    <col min="102" max="102" width="18.85546875" customWidth="1"/>
    <col min="107" max="107" width="3.42578125" customWidth="1"/>
    <col min="108" max="108" width="0.140625" customWidth="1"/>
    <col min="109" max="109" width="23" customWidth="1"/>
    <col min="110" max="110" width="24.7109375" bestFit="1" customWidth="1"/>
    <col min="111" max="111" width="25.5703125" customWidth="1"/>
    <col min="112" max="112" width="27.42578125" customWidth="1"/>
    <col min="113" max="113" width="12.42578125" customWidth="1"/>
    <col min="114" max="114" width="16.140625" customWidth="1"/>
    <col min="115" max="115" width="12.42578125" customWidth="1"/>
    <col min="116" max="116" width="11.7109375" customWidth="1"/>
    <col min="117" max="117" width="13.5703125" customWidth="1"/>
    <col min="118" max="118" width="12.28515625" customWidth="1"/>
    <col min="119" max="119" width="10.5703125" customWidth="1"/>
    <col min="120" max="121" width="13.28515625" customWidth="1"/>
    <col min="122" max="122" width="13.5703125" customWidth="1"/>
    <col min="123" max="123" width="15.140625" customWidth="1"/>
    <col min="133" max="133" width="18" customWidth="1"/>
    <col min="134" max="134" width="37.28515625" bestFit="1" customWidth="1"/>
    <col min="135" max="135" width="21.42578125" bestFit="1" customWidth="1"/>
    <col min="136" max="136" width="25.85546875" bestFit="1" customWidth="1"/>
    <col min="137" max="137" width="14.7109375" customWidth="1"/>
    <col min="138" max="138" width="13.85546875" customWidth="1"/>
    <col min="139" max="139" width="17.28515625" customWidth="1"/>
    <col min="153" max="153" width="17.7109375" customWidth="1"/>
    <col min="154" max="154" width="18.7109375" customWidth="1"/>
    <col min="155" max="155" width="21.140625" customWidth="1"/>
    <col min="156" max="156" width="18.85546875" customWidth="1"/>
    <col min="157" max="157" width="15.7109375" customWidth="1"/>
    <col min="158" max="158" width="14.85546875" customWidth="1"/>
    <col min="159" max="159" width="12.7109375" customWidth="1"/>
    <col min="160" max="160" width="10.85546875" customWidth="1"/>
    <col min="161" max="161" width="11.28515625" customWidth="1"/>
    <col min="163" max="163" width="11.42578125" customWidth="1"/>
    <col min="164" max="164" width="12.7109375" customWidth="1"/>
    <col min="165" max="165" width="11.28515625" customWidth="1"/>
    <col min="166" max="166" width="15.28515625" customWidth="1"/>
    <col min="167" max="167" width="11.7109375" customWidth="1"/>
    <col min="170" max="170" width="15.140625" bestFit="1" customWidth="1"/>
    <col min="171" max="171" width="24.7109375" bestFit="1" customWidth="1"/>
    <col min="172" max="172" width="18.7109375" bestFit="1" customWidth="1"/>
    <col min="173" max="173" width="18" bestFit="1" customWidth="1"/>
    <col min="174" max="174" width="34.28515625" bestFit="1" customWidth="1"/>
  </cols>
  <sheetData>
    <row r="3" spans="2:185" ht="15" customHeight="1" x14ac:dyDescent="0.25">
      <c r="BQ3" s="103" t="s">
        <v>126</v>
      </c>
      <c r="BR3" s="103"/>
      <c r="BS3" s="103"/>
      <c r="BT3" s="103"/>
      <c r="BU3" s="103"/>
      <c r="BV3" s="103"/>
      <c r="CM3" s="102" t="s">
        <v>122</v>
      </c>
      <c r="CN3" s="102"/>
      <c r="CO3" s="102"/>
      <c r="CP3" s="102"/>
      <c r="CQ3" s="102"/>
      <c r="CR3" s="102"/>
      <c r="EZ3" s="102" t="s">
        <v>727</v>
      </c>
      <c r="FA3" s="102"/>
      <c r="FB3" s="102"/>
      <c r="FC3" s="102"/>
      <c r="FD3" s="102"/>
      <c r="FE3" s="102"/>
    </row>
    <row r="4" spans="2:185" ht="15" customHeight="1" x14ac:dyDescent="0.25">
      <c r="BQ4" s="103"/>
      <c r="BR4" s="103"/>
      <c r="BS4" s="103"/>
      <c r="BT4" s="103"/>
      <c r="BU4" s="103"/>
      <c r="BV4" s="103"/>
      <c r="CM4" s="102"/>
      <c r="CN4" s="102"/>
      <c r="CO4" s="102"/>
      <c r="CP4" s="102"/>
      <c r="CQ4" s="102"/>
      <c r="CR4" s="102"/>
      <c r="DG4" s="141" t="s">
        <v>152</v>
      </c>
      <c r="DH4" s="141"/>
      <c r="DI4" s="141"/>
      <c r="DJ4" s="141"/>
      <c r="DK4" s="141"/>
      <c r="DL4" s="141"/>
      <c r="EF4" s="102" t="s">
        <v>161</v>
      </c>
      <c r="EG4" s="102"/>
      <c r="EH4" s="102"/>
      <c r="EI4" s="102"/>
      <c r="EJ4" s="102"/>
      <c r="EK4" s="102"/>
      <c r="EZ4" s="102"/>
      <c r="FA4" s="102"/>
      <c r="FB4" s="102"/>
      <c r="FC4" s="102"/>
      <c r="FD4" s="102"/>
      <c r="FE4" s="102"/>
      <c r="FQ4" s="125" t="s">
        <v>843</v>
      </c>
      <c r="FR4" s="126"/>
      <c r="FS4" s="126"/>
      <c r="FT4" s="126"/>
      <c r="FU4" s="126"/>
      <c r="FV4" s="127"/>
    </row>
    <row r="5" spans="2:185" ht="15" customHeight="1" x14ac:dyDescent="0.25">
      <c r="E5" s="119" t="s">
        <v>118</v>
      </c>
      <c r="F5" s="120"/>
      <c r="G5" s="120"/>
      <c r="H5" s="120"/>
      <c r="I5" s="120"/>
      <c r="J5" s="121"/>
      <c r="U5" s="113" t="s">
        <v>119</v>
      </c>
      <c r="V5" s="114"/>
      <c r="W5" s="114"/>
      <c r="X5" s="114"/>
      <c r="Y5" s="114"/>
      <c r="Z5" s="115"/>
      <c r="AK5" s="125" t="s">
        <v>20</v>
      </c>
      <c r="AL5" s="126"/>
      <c r="AM5" s="126"/>
      <c r="AN5" s="126"/>
      <c r="AO5" s="126"/>
      <c r="AP5" s="127"/>
      <c r="BA5" s="131" t="s">
        <v>32</v>
      </c>
      <c r="BB5" s="132"/>
      <c r="BC5" s="132"/>
      <c r="BD5" s="132"/>
      <c r="BE5" s="132"/>
      <c r="BF5" s="133"/>
      <c r="BQ5" s="104"/>
      <c r="BR5" s="104"/>
      <c r="BS5" s="104"/>
      <c r="BT5" s="104"/>
      <c r="BU5" s="104"/>
      <c r="BV5" s="104"/>
      <c r="CM5" s="102"/>
      <c r="CN5" s="102"/>
      <c r="CO5" s="102"/>
      <c r="CP5" s="102"/>
      <c r="CQ5" s="102"/>
      <c r="CR5" s="102"/>
      <c r="DG5" s="141"/>
      <c r="DH5" s="141"/>
      <c r="DI5" s="141"/>
      <c r="DJ5" s="141"/>
      <c r="DK5" s="141"/>
      <c r="DL5" s="141"/>
      <c r="EF5" s="102"/>
      <c r="EG5" s="102"/>
      <c r="EH5" s="102"/>
      <c r="EI5" s="102"/>
      <c r="EJ5" s="102"/>
      <c r="EK5" s="102"/>
      <c r="EZ5" s="102"/>
      <c r="FA5" s="102"/>
      <c r="FB5" s="102"/>
      <c r="FC5" s="102"/>
      <c r="FD5" s="102"/>
      <c r="FE5" s="102"/>
      <c r="FQ5" s="128"/>
      <c r="FR5" s="129"/>
      <c r="FS5" s="129"/>
      <c r="FT5" s="129"/>
      <c r="FU5" s="129"/>
      <c r="FV5" s="130"/>
    </row>
    <row r="6" spans="2:185" ht="21" customHeight="1" x14ac:dyDescent="0.35">
      <c r="E6" s="122"/>
      <c r="F6" s="123"/>
      <c r="G6" s="123"/>
      <c r="H6" s="123"/>
      <c r="I6" s="123"/>
      <c r="J6" s="124"/>
      <c r="U6" s="116"/>
      <c r="V6" s="117"/>
      <c r="W6" s="117"/>
      <c r="X6" s="117"/>
      <c r="Y6" s="117"/>
      <c r="Z6" s="118"/>
      <c r="AK6" s="128"/>
      <c r="AL6" s="129"/>
      <c r="AM6" s="129"/>
      <c r="AN6" s="129"/>
      <c r="AO6" s="129"/>
      <c r="AP6" s="130"/>
      <c r="BA6" s="134"/>
      <c r="BB6" s="135"/>
      <c r="BC6" s="135"/>
      <c r="BD6" s="135"/>
      <c r="BE6" s="135"/>
      <c r="BF6" s="136"/>
      <c r="BO6" s="71" t="s">
        <v>0</v>
      </c>
      <c r="BP6" s="1" t="s">
        <v>1</v>
      </c>
      <c r="BQ6" s="1" t="s">
        <v>2</v>
      </c>
      <c r="BR6" s="1" t="s">
        <v>73</v>
      </c>
      <c r="BS6" s="7" t="s">
        <v>3</v>
      </c>
      <c r="BT6" s="1" t="s">
        <v>4</v>
      </c>
      <c r="BU6" s="1" t="s">
        <v>5</v>
      </c>
      <c r="BV6" s="1" t="s">
        <v>6</v>
      </c>
      <c r="BW6" s="1" t="s">
        <v>7</v>
      </c>
      <c r="BX6" s="1" t="s">
        <v>74</v>
      </c>
      <c r="BY6" s="1" t="s">
        <v>8</v>
      </c>
      <c r="BZ6" s="1" t="s">
        <v>9</v>
      </c>
      <c r="CA6" s="1" t="s">
        <v>10</v>
      </c>
      <c r="CB6" s="1" t="s">
        <v>11</v>
      </c>
      <c r="CC6" s="1" t="s">
        <v>75</v>
      </c>
      <c r="CD6" s="1" t="s">
        <v>12</v>
      </c>
      <c r="CE6" s="1" t="s">
        <v>13</v>
      </c>
      <c r="CF6" s="1" t="s">
        <v>14</v>
      </c>
      <c r="CH6" s="70" t="s">
        <v>0</v>
      </c>
      <c r="CI6" s="7" t="s">
        <v>1</v>
      </c>
      <c r="CJ6" s="1" t="s">
        <v>2</v>
      </c>
      <c r="CK6" s="1" t="s">
        <v>3</v>
      </c>
      <c r="CL6" s="1" t="s">
        <v>4</v>
      </c>
      <c r="CM6" s="1" t="s">
        <v>5</v>
      </c>
      <c r="CN6" s="1" t="s">
        <v>6</v>
      </c>
      <c r="CO6" s="1" t="s">
        <v>7</v>
      </c>
      <c r="CP6" s="1" t="s">
        <v>74</v>
      </c>
      <c r="CQ6" s="1" t="s">
        <v>8</v>
      </c>
      <c r="CR6" s="1" t="s">
        <v>9</v>
      </c>
      <c r="CS6" s="1" t="s">
        <v>10</v>
      </c>
      <c r="CT6" s="1" t="s">
        <v>11</v>
      </c>
      <c r="CU6" s="1" t="s">
        <v>75</v>
      </c>
      <c r="CV6" s="1" t="s">
        <v>12</v>
      </c>
      <c r="CW6" s="1" t="s">
        <v>13</v>
      </c>
      <c r="CX6" s="1" t="s">
        <v>14</v>
      </c>
      <c r="DG6" s="141"/>
      <c r="DH6" s="141"/>
      <c r="DI6" s="141"/>
      <c r="DJ6" s="141"/>
      <c r="DK6" s="141"/>
      <c r="DL6" s="141"/>
      <c r="EF6" s="102"/>
      <c r="EG6" s="102"/>
      <c r="EH6" s="102"/>
      <c r="EI6" s="102"/>
      <c r="EJ6" s="102"/>
      <c r="EK6" s="102"/>
      <c r="EW6" s="7" t="s">
        <v>0</v>
      </c>
      <c r="EX6" s="7" t="s">
        <v>1</v>
      </c>
      <c r="EY6" s="7" t="s">
        <v>2</v>
      </c>
      <c r="EZ6" s="7" t="s">
        <v>3</v>
      </c>
      <c r="FA6" s="7" t="s">
        <v>4</v>
      </c>
      <c r="FB6" s="7" t="s">
        <v>5</v>
      </c>
      <c r="FC6" s="7" t="s">
        <v>6</v>
      </c>
      <c r="FD6" s="7" t="s">
        <v>7</v>
      </c>
      <c r="FE6" s="7" t="s">
        <v>8</v>
      </c>
      <c r="FF6" s="7" t="s">
        <v>9</v>
      </c>
      <c r="FG6" s="7" t="s">
        <v>10</v>
      </c>
      <c r="FH6" s="7" t="s">
        <v>11</v>
      </c>
      <c r="FI6" s="7" t="s">
        <v>12</v>
      </c>
      <c r="FJ6" s="7" t="s">
        <v>13</v>
      </c>
      <c r="FK6" s="7" t="s">
        <v>14</v>
      </c>
      <c r="FN6" s="72" t="s">
        <v>0</v>
      </c>
      <c r="FO6" s="1" t="s">
        <v>1</v>
      </c>
      <c r="FP6" s="1" t="s">
        <v>2</v>
      </c>
      <c r="FQ6" s="86" t="s">
        <v>73</v>
      </c>
      <c r="FR6" s="1" t="s">
        <v>3</v>
      </c>
      <c r="FS6" s="1" t="s">
        <v>4</v>
      </c>
      <c r="FT6" s="1" t="s">
        <v>5</v>
      </c>
      <c r="FU6" s="1" t="s">
        <v>6</v>
      </c>
      <c r="FV6" s="1" t="s">
        <v>7</v>
      </c>
      <c r="FW6" s="1" t="s">
        <v>8</v>
      </c>
      <c r="FX6" s="1" t="s">
        <v>9</v>
      </c>
      <c r="FY6" s="1" t="s">
        <v>10</v>
      </c>
      <c r="FZ6" s="1" t="s">
        <v>11</v>
      </c>
      <c r="GA6" s="1" t="s">
        <v>12</v>
      </c>
      <c r="GB6" s="1" t="s">
        <v>13</v>
      </c>
      <c r="GC6" s="1" t="s">
        <v>14</v>
      </c>
    </row>
    <row r="7" spans="2:185" ht="21" customHeight="1" x14ac:dyDescent="0.35">
      <c r="B7" s="74" t="s">
        <v>0</v>
      </c>
      <c r="C7" s="1" t="s">
        <v>1</v>
      </c>
      <c r="D7" s="1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73" t="s">
        <v>0</v>
      </c>
      <c r="S7" s="7" t="s">
        <v>1</v>
      </c>
      <c r="T7" s="7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72" t="s">
        <v>0</v>
      </c>
      <c r="AI7" s="7" t="s">
        <v>1</v>
      </c>
      <c r="AJ7" s="1" t="s">
        <v>2</v>
      </c>
      <c r="AK7" s="7" t="s">
        <v>73</v>
      </c>
      <c r="AL7" s="1" t="s">
        <v>3</v>
      </c>
      <c r="AM7" s="1" t="s">
        <v>4</v>
      </c>
      <c r="AN7" s="1" t="s">
        <v>5</v>
      </c>
      <c r="AO7" s="1" t="s">
        <v>6</v>
      </c>
      <c r="AP7" s="1" t="s">
        <v>7</v>
      </c>
      <c r="AQ7" s="1" t="s">
        <v>8</v>
      </c>
      <c r="AR7" s="1" t="s">
        <v>9</v>
      </c>
      <c r="AS7" s="1" t="s">
        <v>10</v>
      </c>
      <c r="AT7" s="1" t="s">
        <v>11</v>
      </c>
      <c r="AU7" s="1" t="s">
        <v>12</v>
      </c>
      <c r="AV7" s="1" t="s">
        <v>13</v>
      </c>
      <c r="AW7" s="1" t="s">
        <v>14</v>
      </c>
      <c r="AY7" s="69" t="s">
        <v>0</v>
      </c>
      <c r="AZ7" s="7" t="s">
        <v>1</v>
      </c>
      <c r="BA7" s="7" t="s">
        <v>2</v>
      </c>
      <c r="BB7" s="7" t="s">
        <v>3</v>
      </c>
      <c r="BC7" s="7" t="s">
        <v>4</v>
      </c>
      <c r="BD7" s="7" t="s">
        <v>5</v>
      </c>
      <c r="BE7" s="7" t="s">
        <v>6</v>
      </c>
      <c r="BF7" s="7" t="s">
        <v>7</v>
      </c>
      <c r="BG7" s="7" t="s">
        <v>8</v>
      </c>
      <c r="BH7" s="7" t="s">
        <v>9</v>
      </c>
      <c r="BI7" s="7" t="s">
        <v>10</v>
      </c>
      <c r="BJ7" s="7" t="s">
        <v>11</v>
      </c>
      <c r="BK7" s="7" t="s">
        <v>12</v>
      </c>
      <c r="BL7" s="7" t="s">
        <v>13</v>
      </c>
      <c r="BM7" s="7" t="s">
        <v>14</v>
      </c>
      <c r="BO7" s="100" t="s">
        <v>76</v>
      </c>
      <c r="BP7" s="98" t="s">
        <v>77</v>
      </c>
      <c r="BQ7" s="2">
        <v>250</v>
      </c>
      <c r="BR7" s="2">
        <v>1500</v>
      </c>
      <c r="BS7" s="2">
        <v>10000</v>
      </c>
      <c r="BT7" s="2">
        <v>10000</v>
      </c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H7" s="107" t="s">
        <v>123</v>
      </c>
      <c r="CI7" s="98" t="s">
        <v>1059</v>
      </c>
      <c r="CJ7" s="2">
        <v>250</v>
      </c>
      <c r="CK7" s="2">
        <v>2500</v>
      </c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DE7" s="69" t="s">
        <v>0</v>
      </c>
      <c r="DF7" s="7" t="s">
        <v>1</v>
      </c>
      <c r="DG7" s="7" t="s">
        <v>2</v>
      </c>
      <c r="DH7" s="7" t="s">
        <v>3</v>
      </c>
      <c r="DI7" s="7" t="s">
        <v>4</v>
      </c>
      <c r="DJ7" s="7" t="s">
        <v>5</v>
      </c>
      <c r="DK7" s="7" t="s">
        <v>6</v>
      </c>
      <c r="DL7" s="7" t="s">
        <v>7</v>
      </c>
      <c r="DM7" s="7" t="s">
        <v>8</v>
      </c>
      <c r="DN7" s="7" t="s">
        <v>9</v>
      </c>
      <c r="DO7" s="7" t="s">
        <v>10</v>
      </c>
      <c r="DP7" s="7" t="s">
        <v>11</v>
      </c>
      <c r="DQ7" s="7" t="s">
        <v>12</v>
      </c>
      <c r="DR7" s="7" t="s">
        <v>13</v>
      </c>
      <c r="DS7" s="7" t="s">
        <v>14</v>
      </c>
      <c r="EC7" s="7" t="s">
        <v>0</v>
      </c>
      <c r="ED7" s="7" t="s">
        <v>1</v>
      </c>
      <c r="EE7" s="7" t="s">
        <v>2</v>
      </c>
      <c r="EF7" s="7" t="s">
        <v>3</v>
      </c>
      <c r="EG7" s="7" t="s">
        <v>4</v>
      </c>
      <c r="EH7" s="7" t="s">
        <v>5</v>
      </c>
      <c r="EI7" s="7" t="s">
        <v>6</v>
      </c>
      <c r="EJ7" s="7" t="s">
        <v>7</v>
      </c>
      <c r="EK7" s="7" t="s">
        <v>8</v>
      </c>
      <c r="EL7" s="7" t="s">
        <v>9</v>
      </c>
      <c r="EM7" s="7" t="s">
        <v>10</v>
      </c>
      <c r="EN7" s="7" t="s">
        <v>11</v>
      </c>
      <c r="EO7" s="7" t="s">
        <v>12</v>
      </c>
      <c r="EP7" s="7" t="s">
        <v>13</v>
      </c>
      <c r="EQ7" s="7" t="s">
        <v>14</v>
      </c>
      <c r="EW7" s="98" t="s">
        <v>728</v>
      </c>
      <c r="EX7" s="98"/>
      <c r="EY7" s="2"/>
      <c r="EZ7" s="2">
        <v>2500</v>
      </c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N7" s="105" t="s">
        <v>844</v>
      </c>
      <c r="FO7" s="98"/>
      <c r="FP7" s="2"/>
      <c r="FQ7" s="32"/>
      <c r="FR7" s="2">
        <v>1000</v>
      </c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</row>
    <row r="8" spans="2:185" x14ac:dyDescent="0.25">
      <c r="B8" s="109" t="s">
        <v>15</v>
      </c>
      <c r="C8" s="98" t="s">
        <v>1023</v>
      </c>
      <c r="D8" s="2">
        <v>250</v>
      </c>
      <c r="E8" s="2">
        <v>2500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111" t="s">
        <v>17</v>
      </c>
      <c r="S8" s="98" t="s">
        <v>18</v>
      </c>
      <c r="T8" s="2">
        <v>250</v>
      </c>
      <c r="U8" s="2">
        <v>2500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105" t="s">
        <v>21</v>
      </c>
      <c r="AI8" s="98" t="s">
        <v>22</v>
      </c>
      <c r="AJ8" s="2">
        <v>250</v>
      </c>
      <c r="AK8" s="2"/>
      <c r="AL8" s="2">
        <v>2500</v>
      </c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Y8" s="137" t="s">
        <v>33</v>
      </c>
      <c r="AZ8" s="98" t="s">
        <v>35</v>
      </c>
      <c r="BA8" s="2">
        <v>250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O8" s="101"/>
      <c r="BP8" s="99"/>
      <c r="BQ8" s="2" t="s">
        <v>78</v>
      </c>
      <c r="BR8" s="2" t="s">
        <v>168</v>
      </c>
      <c r="BS8" s="2" t="s">
        <v>95</v>
      </c>
      <c r="BT8" s="2" t="s">
        <v>857</v>
      </c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H8" s="108"/>
      <c r="CI8" s="99"/>
      <c r="CJ8" s="2" t="s">
        <v>124</v>
      </c>
      <c r="CK8" s="2" t="s">
        <v>124</v>
      </c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DE8" s="137" t="s">
        <v>153</v>
      </c>
      <c r="DF8" s="98" t="s">
        <v>154</v>
      </c>
      <c r="DG8" s="2">
        <v>250</v>
      </c>
      <c r="DH8" s="2">
        <v>2500</v>
      </c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EC8" s="98" t="s">
        <v>163</v>
      </c>
      <c r="ED8" s="98" t="s">
        <v>451</v>
      </c>
      <c r="EE8" s="2">
        <v>250</v>
      </c>
      <c r="EF8" s="2">
        <v>2500</v>
      </c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W8" s="99"/>
      <c r="EX8" s="99"/>
      <c r="EY8" s="2"/>
      <c r="EZ8" s="2" t="s">
        <v>729</v>
      </c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N8" s="106"/>
      <c r="FO8" s="99"/>
      <c r="FP8" s="2"/>
      <c r="FQ8" s="32"/>
      <c r="FR8" s="2" t="s">
        <v>845</v>
      </c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</row>
    <row r="9" spans="2:185" x14ac:dyDescent="0.25">
      <c r="B9" s="110"/>
      <c r="C9" s="99"/>
      <c r="D9" s="2" t="s">
        <v>16</v>
      </c>
      <c r="E9" s="2" t="s">
        <v>16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112"/>
      <c r="S9" s="99"/>
      <c r="T9" s="2" t="s">
        <v>19</v>
      </c>
      <c r="U9" s="2" t="s">
        <v>261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106"/>
      <c r="AI9" s="99"/>
      <c r="AJ9" s="2" t="s">
        <v>138</v>
      </c>
      <c r="AK9" s="2"/>
      <c r="AL9" s="2" t="s">
        <v>140</v>
      </c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Y9" s="138"/>
      <c r="AZ9" s="99"/>
      <c r="BA9" s="2" t="s">
        <v>34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O9" s="100" t="s">
        <v>79</v>
      </c>
      <c r="BP9" s="98" t="s">
        <v>80</v>
      </c>
      <c r="BQ9" s="2">
        <v>250</v>
      </c>
      <c r="BR9" s="2">
        <v>1500</v>
      </c>
      <c r="BS9" s="2">
        <v>10000</v>
      </c>
      <c r="BT9" s="2">
        <v>10000</v>
      </c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H9" s="107" t="s">
        <v>169</v>
      </c>
      <c r="CI9" s="98" t="s">
        <v>1060</v>
      </c>
      <c r="CJ9" s="2">
        <v>250</v>
      </c>
      <c r="CK9" s="2">
        <v>2500</v>
      </c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DE9" s="138"/>
      <c r="DF9" s="99"/>
      <c r="DG9" s="2" t="s">
        <v>622</v>
      </c>
      <c r="DH9" s="2" t="s">
        <v>622</v>
      </c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EC9" s="99"/>
      <c r="ED9" s="99"/>
      <c r="EE9" s="2" t="s">
        <v>493</v>
      </c>
      <c r="EF9" s="2" t="s">
        <v>493</v>
      </c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W9" s="98" t="s">
        <v>731</v>
      </c>
      <c r="EX9" s="98"/>
      <c r="EY9" s="2"/>
      <c r="EZ9" s="2">
        <v>2500</v>
      </c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N9" s="105" t="s">
        <v>925</v>
      </c>
      <c r="FO9" s="98" t="s">
        <v>926</v>
      </c>
      <c r="FP9" s="2">
        <v>250</v>
      </c>
      <c r="FQ9" s="3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</row>
    <row r="10" spans="2:185" x14ac:dyDescent="0.25">
      <c r="B10" s="109" t="s">
        <v>50</v>
      </c>
      <c r="C10" s="98" t="s">
        <v>1024</v>
      </c>
      <c r="D10" s="2">
        <v>250</v>
      </c>
      <c r="E10" s="2">
        <v>2500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111" t="s">
        <v>52</v>
      </c>
      <c r="S10" s="98" t="s">
        <v>54</v>
      </c>
      <c r="T10" s="2">
        <v>250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105" t="s">
        <v>23</v>
      </c>
      <c r="AI10" s="98" t="s">
        <v>24</v>
      </c>
      <c r="AJ10" s="2">
        <v>250</v>
      </c>
      <c r="AK10" s="2"/>
      <c r="AL10" s="2">
        <v>2500</v>
      </c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Y10" s="137" t="s">
        <v>47</v>
      </c>
      <c r="AZ10" s="98" t="s">
        <v>49</v>
      </c>
      <c r="BA10" s="2">
        <v>250</v>
      </c>
      <c r="BB10" s="2">
        <v>3000</v>
      </c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O10" s="101"/>
      <c r="BP10" s="99"/>
      <c r="BQ10" s="2" t="s">
        <v>449</v>
      </c>
      <c r="BR10" s="2" t="s">
        <v>168</v>
      </c>
      <c r="BS10" s="2" t="s">
        <v>90</v>
      </c>
      <c r="BT10" s="2" t="s">
        <v>853</v>
      </c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H10" s="108"/>
      <c r="CI10" s="99"/>
      <c r="CJ10" s="2" t="s">
        <v>170</v>
      </c>
      <c r="CK10" s="2" t="s">
        <v>170</v>
      </c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DE10" s="137" t="s">
        <v>155</v>
      </c>
      <c r="DF10" s="98" t="s">
        <v>120</v>
      </c>
      <c r="DG10" s="2">
        <v>250</v>
      </c>
      <c r="DH10" s="2">
        <v>1750</v>
      </c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EC10" s="98" t="s">
        <v>162</v>
      </c>
      <c r="ED10" s="98" t="s">
        <v>450</v>
      </c>
      <c r="EE10" s="2">
        <v>250</v>
      </c>
      <c r="EF10" s="2">
        <v>2500</v>
      </c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W10" s="99"/>
      <c r="EX10" s="99"/>
      <c r="EY10" s="2"/>
      <c r="EZ10" s="2" t="s">
        <v>732</v>
      </c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N10" s="106"/>
      <c r="FO10" s="99"/>
      <c r="FP10" s="2" t="s">
        <v>927</v>
      </c>
      <c r="FQ10" s="3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</row>
    <row r="11" spans="2:185" x14ac:dyDescent="0.25">
      <c r="B11" s="110"/>
      <c r="C11" s="99"/>
      <c r="D11" s="2" t="s">
        <v>51</v>
      </c>
      <c r="E11" s="2" t="s">
        <v>171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112"/>
      <c r="S11" s="99"/>
      <c r="T11" s="2" t="s">
        <v>53</v>
      </c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106"/>
      <c r="AI11" s="99"/>
      <c r="AJ11" s="2" t="s">
        <v>25</v>
      </c>
      <c r="AK11" s="2"/>
      <c r="AL11" s="2" t="s">
        <v>25</v>
      </c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Y11" s="138"/>
      <c r="AZ11" s="99"/>
      <c r="BA11" s="2" t="s">
        <v>48</v>
      </c>
      <c r="BB11" s="2" t="s">
        <v>484</v>
      </c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O11" s="100" t="s">
        <v>81</v>
      </c>
      <c r="BP11" s="98" t="s">
        <v>82</v>
      </c>
      <c r="BQ11" s="2">
        <v>250</v>
      </c>
      <c r="BR11" s="2">
        <v>1500</v>
      </c>
      <c r="BS11" s="2">
        <v>10000</v>
      </c>
      <c r="BT11" s="2">
        <v>10000</v>
      </c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H11" s="107" t="s">
        <v>487</v>
      </c>
      <c r="CI11" s="98" t="s">
        <v>1030</v>
      </c>
      <c r="CJ11" s="2">
        <v>250</v>
      </c>
      <c r="CK11" s="2">
        <v>2500</v>
      </c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DE11" s="138"/>
      <c r="DF11" s="99"/>
      <c r="DG11" s="2" t="s">
        <v>619</v>
      </c>
      <c r="DH11" s="2" t="s">
        <v>619</v>
      </c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EC11" s="99"/>
      <c r="ED11" s="99"/>
      <c r="EE11" s="2" t="s">
        <v>164</v>
      </c>
      <c r="EF11" s="2" t="s">
        <v>494</v>
      </c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W11" s="98" t="s">
        <v>733</v>
      </c>
      <c r="EX11" s="98"/>
      <c r="EY11" s="2"/>
      <c r="EZ11" s="2">
        <v>2500</v>
      </c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N11" s="105" t="s">
        <v>850</v>
      </c>
      <c r="FO11" s="98" t="s">
        <v>1022</v>
      </c>
      <c r="FP11" s="2">
        <v>250</v>
      </c>
      <c r="FQ11" s="32"/>
      <c r="FR11" s="2">
        <v>2500</v>
      </c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</row>
    <row r="12" spans="2:185" x14ac:dyDescent="0.25">
      <c r="B12" s="109" t="s">
        <v>92</v>
      </c>
      <c r="C12" s="98" t="s">
        <v>93</v>
      </c>
      <c r="D12" s="2">
        <v>250</v>
      </c>
      <c r="E12" s="2">
        <v>2500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111" t="s">
        <v>113</v>
      </c>
      <c r="S12" s="98" t="s">
        <v>114</v>
      </c>
      <c r="T12" s="2">
        <v>250</v>
      </c>
      <c r="U12" s="2">
        <v>2500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105" t="s">
        <v>26</v>
      </c>
      <c r="AI12" s="98" t="s">
        <v>27</v>
      </c>
      <c r="AJ12" s="2">
        <v>250</v>
      </c>
      <c r="AK12" s="2"/>
      <c r="AL12" s="2">
        <v>2500</v>
      </c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Y12" s="137" t="s">
        <v>99</v>
      </c>
      <c r="AZ12" s="98" t="s">
        <v>1007</v>
      </c>
      <c r="BA12" s="2">
        <v>250</v>
      </c>
      <c r="BB12" s="2">
        <v>3000</v>
      </c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O12" s="101"/>
      <c r="BP12" s="99"/>
      <c r="BQ12" s="2" t="s">
        <v>87</v>
      </c>
      <c r="BR12" s="2" t="s">
        <v>151</v>
      </c>
      <c r="BS12" s="2" t="s">
        <v>91</v>
      </c>
      <c r="BT12" s="2" t="s">
        <v>854</v>
      </c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H12" s="108"/>
      <c r="CI12" s="99"/>
      <c r="CJ12" s="2" t="s">
        <v>488</v>
      </c>
      <c r="CK12" s="2" t="s">
        <v>488</v>
      </c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DE12" s="137" t="s">
        <v>156</v>
      </c>
      <c r="DF12" s="98" t="s">
        <v>157</v>
      </c>
      <c r="DG12" s="2">
        <v>250</v>
      </c>
      <c r="DH12" s="2">
        <v>2500</v>
      </c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EC12" s="98" t="s">
        <v>479</v>
      </c>
      <c r="ED12" s="98" t="s">
        <v>1002</v>
      </c>
      <c r="EE12" s="2">
        <v>250</v>
      </c>
      <c r="EF12" s="2">
        <v>2500</v>
      </c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W12" s="99"/>
      <c r="EX12" s="99"/>
      <c r="EY12" s="2"/>
      <c r="EZ12" s="2" t="s">
        <v>734</v>
      </c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N12" s="106"/>
      <c r="FO12" s="99"/>
      <c r="FP12" s="2" t="s">
        <v>851</v>
      </c>
      <c r="FQ12" s="32"/>
      <c r="FR12" s="2" t="s">
        <v>851</v>
      </c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</row>
    <row r="13" spans="2:185" x14ac:dyDescent="0.25">
      <c r="B13" s="110"/>
      <c r="C13" s="99"/>
      <c r="D13" s="2" t="s">
        <v>94</v>
      </c>
      <c r="E13" s="2" t="s">
        <v>94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112"/>
      <c r="S13" s="99"/>
      <c r="T13" s="2" t="s">
        <v>117</v>
      </c>
      <c r="U13" s="2" t="s">
        <v>262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106"/>
      <c r="AI13" s="99"/>
      <c r="AJ13" s="2" t="s">
        <v>28</v>
      </c>
      <c r="AK13" s="2"/>
      <c r="AL13" s="2" t="s">
        <v>28</v>
      </c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Y13" s="138"/>
      <c r="AZ13" s="99"/>
      <c r="BA13" s="2" t="s">
        <v>100</v>
      </c>
      <c r="BB13" s="2" t="s">
        <v>100</v>
      </c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O13" s="100" t="s">
        <v>83</v>
      </c>
      <c r="BP13" s="98" t="s">
        <v>84</v>
      </c>
      <c r="BQ13" s="2">
        <v>250</v>
      </c>
      <c r="BR13" s="2">
        <v>1500</v>
      </c>
      <c r="BS13" s="2">
        <v>10000</v>
      </c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H13" s="107" t="s">
        <v>491</v>
      </c>
      <c r="CI13" s="98" t="s">
        <v>1029</v>
      </c>
      <c r="CJ13" s="2">
        <v>250</v>
      </c>
      <c r="CK13" s="2">
        <v>2500</v>
      </c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DE13" s="138"/>
      <c r="DF13" s="99"/>
      <c r="DG13" s="2" t="s">
        <v>620</v>
      </c>
      <c r="DH13" s="2" t="s">
        <v>620</v>
      </c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EC13" s="99"/>
      <c r="ED13" s="99"/>
      <c r="EE13" s="2" t="s">
        <v>480</v>
      </c>
      <c r="EF13" s="2" t="s">
        <v>480</v>
      </c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W13" s="139" t="s">
        <v>777</v>
      </c>
      <c r="EX13" s="98" t="s">
        <v>778</v>
      </c>
      <c r="EY13" s="2">
        <v>250</v>
      </c>
      <c r="EZ13" s="2">
        <v>2500</v>
      </c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N13" s="105"/>
      <c r="FO13" s="98"/>
      <c r="FP13" s="2"/>
      <c r="FQ13" s="3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</row>
    <row r="14" spans="2:185" x14ac:dyDescent="0.25">
      <c r="B14" s="109" t="s">
        <v>165</v>
      </c>
      <c r="C14" s="98" t="s">
        <v>166</v>
      </c>
      <c r="D14" s="2">
        <v>250</v>
      </c>
      <c r="E14" s="2">
        <v>2500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111" t="s">
        <v>115</v>
      </c>
      <c r="S14" s="98" t="s">
        <v>116</v>
      </c>
      <c r="T14" s="2">
        <v>250</v>
      </c>
      <c r="U14" s="2">
        <v>2500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105" t="s">
        <v>29</v>
      </c>
      <c r="AI14" s="98" t="s">
        <v>30</v>
      </c>
      <c r="AJ14" s="2">
        <v>250</v>
      </c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Y14" s="137"/>
      <c r="AZ14" s="98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O14" s="101"/>
      <c r="BP14" s="99"/>
      <c r="BQ14" s="2" t="s">
        <v>88</v>
      </c>
      <c r="BR14" s="2" t="s">
        <v>139</v>
      </c>
      <c r="BS14" s="2" t="s">
        <v>88</v>
      </c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H14" s="108"/>
      <c r="CI14" s="99"/>
      <c r="CJ14" s="2" t="s">
        <v>492</v>
      </c>
      <c r="CK14" s="2" t="s">
        <v>492</v>
      </c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DE14" s="137" t="s">
        <v>158</v>
      </c>
      <c r="DF14" s="98" t="s">
        <v>159</v>
      </c>
      <c r="DG14" s="2">
        <v>250</v>
      </c>
      <c r="DH14" s="2">
        <v>2500</v>
      </c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EC14" s="98" t="s">
        <v>482</v>
      </c>
      <c r="ED14" s="98" t="s">
        <v>1001</v>
      </c>
      <c r="EE14" s="2"/>
      <c r="EF14" s="2">
        <v>650</v>
      </c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W14" s="140"/>
      <c r="EX14" s="99"/>
      <c r="EY14" s="2" t="s">
        <v>905</v>
      </c>
      <c r="EZ14" s="2" t="s">
        <v>905</v>
      </c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N14" s="106"/>
      <c r="FO14" s="99"/>
      <c r="FP14" s="2"/>
      <c r="FQ14" s="3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</row>
    <row r="15" spans="2:185" x14ac:dyDescent="0.25">
      <c r="B15" s="110"/>
      <c r="C15" s="99"/>
      <c r="D15" s="2" t="s">
        <v>167</v>
      </c>
      <c r="E15" s="2" t="s">
        <v>167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112"/>
      <c r="S15" s="99"/>
      <c r="T15" s="2" t="s">
        <v>452</v>
      </c>
      <c r="U15" s="2" t="s">
        <v>260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106"/>
      <c r="AI15" s="99"/>
      <c r="AJ15" s="2" t="s">
        <v>31</v>
      </c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Y15" s="138"/>
      <c r="AZ15" s="99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O15" s="100" t="s">
        <v>85</v>
      </c>
      <c r="BP15" s="98" t="s">
        <v>86</v>
      </c>
      <c r="BQ15" s="2">
        <v>250</v>
      </c>
      <c r="BR15" s="2">
        <v>3000</v>
      </c>
      <c r="BS15" s="2" t="s">
        <v>109</v>
      </c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H15" s="107" t="s">
        <v>495</v>
      </c>
      <c r="CI15" s="98" t="s">
        <v>1028</v>
      </c>
      <c r="CJ15" s="2">
        <v>250</v>
      </c>
      <c r="CK15" s="2">
        <v>2500</v>
      </c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DE15" s="138"/>
      <c r="DF15" s="99"/>
      <c r="DG15" s="2" t="s">
        <v>160</v>
      </c>
      <c r="DH15" s="2" t="s">
        <v>160</v>
      </c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EC15" s="99"/>
      <c r="ED15" s="99"/>
      <c r="EE15" s="2"/>
      <c r="EF15" s="2" t="s">
        <v>483</v>
      </c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W15" s="98"/>
      <c r="EX15" s="98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N15" s="105"/>
      <c r="FO15" s="98"/>
      <c r="FP15" s="2"/>
      <c r="FQ15" s="3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</row>
    <row r="16" spans="2:185" x14ac:dyDescent="0.25">
      <c r="B16" s="109" t="s">
        <v>172</v>
      </c>
      <c r="C16" s="98" t="s">
        <v>1025</v>
      </c>
      <c r="D16" s="2"/>
      <c r="E16" s="2" t="s">
        <v>174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111" t="s">
        <v>252</v>
      </c>
      <c r="S16" s="98" t="s">
        <v>253</v>
      </c>
      <c r="T16" s="2">
        <v>250</v>
      </c>
      <c r="U16" s="2">
        <v>2500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105" t="s">
        <v>36</v>
      </c>
      <c r="AI16" s="98" t="s">
        <v>37</v>
      </c>
      <c r="AJ16" s="2">
        <v>250</v>
      </c>
      <c r="AK16" s="2"/>
      <c r="AL16" s="2" t="s">
        <v>141</v>
      </c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Y16" s="137" t="s">
        <v>211</v>
      </c>
      <c r="AZ16" s="98" t="s">
        <v>608</v>
      </c>
      <c r="BA16" s="2">
        <v>250</v>
      </c>
      <c r="BB16" s="2">
        <v>3000</v>
      </c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O16" s="101"/>
      <c r="BP16" s="99"/>
      <c r="BQ16" s="2" t="s">
        <v>89</v>
      </c>
      <c r="BR16" s="2" t="s">
        <v>127</v>
      </c>
      <c r="BS16" s="2" t="s">
        <v>110</v>
      </c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H16" s="108"/>
      <c r="CI16" s="99"/>
      <c r="CJ16" s="2" t="s">
        <v>496</v>
      </c>
      <c r="CK16" s="2" t="s">
        <v>496</v>
      </c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DE16" s="137" t="s">
        <v>211</v>
      </c>
      <c r="DF16" s="98" t="s">
        <v>212</v>
      </c>
      <c r="DG16" s="2">
        <v>250</v>
      </c>
      <c r="DH16" s="2">
        <v>2500</v>
      </c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EC16" s="98" t="s">
        <v>489</v>
      </c>
      <c r="ED16" s="98" t="s">
        <v>1003</v>
      </c>
      <c r="EE16" s="2">
        <v>250</v>
      </c>
      <c r="EF16" s="2">
        <v>2500</v>
      </c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W16" s="99"/>
      <c r="EX16" s="99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N16" s="106"/>
      <c r="FO16" s="99"/>
      <c r="FP16" s="2"/>
      <c r="FQ16" s="3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</row>
    <row r="17" spans="2:185" x14ac:dyDescent="0.25">
      <c r="B17" s="110"/>
      <c r="C17" s="99"/>
      <c r="D17" s="2"/>
      <c r="E17" s="2" t="s">
        <v>173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112"/>
      <c r="S17" s="99"/>
      <c r="T17" s="2" t="s">
        <v>254</v>
      </c>
      <c r="U17" s="2" t="s">
        <v>254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106"/>
      <c r="AI17" s="99"/>
      <c r="AJ17" s="2" t="s">
        <v>130</v>
      </c>
      <c r="AK17" s="2"/>
      <c r="AL17" s="2" t="s">
        <v>892</v>
      </c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Y17" s="138"/>
      <c r="AZ17" s="99"/>
      <c r="BA17" s="2" t="s">
        <v>213</v>
      </c>
      <c r="BB17" s="2" t="s">
        <v>213</v>
      </c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O17" s="100" t="s">
        <v>96</v>
      </c>
      <c r="BP17" s="98" t="s">
        <v>97</v>
      </c>
      <c r="BQ17" s="2">
        <v>250</v>
      </c>
      <c r="BR17" s="2">
        <v>1500</v>
      </c>
      <c r="BS17" s="2" t="s">
        <v>106</v>
      </c>
      <c r="BT17" s="2">
        <v>10000</v>
      </c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H17" s="107" t="s">
        <v>497</v>
      </c>
      <c r="CI17" s="98" t="s">
        <v>1027</v>
      </c>
      <c r="CJ17" s="2">
        <v>250</v>
      </c>
      <c r="CK17" s="2">
        <v>2500</v>
      </c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DE17" s="138"/>
      <c r="DF17" s="99"/>
      <c r="DG17" s="2" t="s">
        <v>214</v>
      </c>
      <c r="DH17" s="2" t="s">
        <v>214</v>
      </c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EC17" s="99"/>
      <c r="ED17" s="99"/>
      <c r="EE17" s="2" t="s">
        <v>490</v>
      </c>
      <c r="EF17" s="2" t="s">
        <v>490</v>
      </c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W17" s="98"/>
      <c r="EX17" s="98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N17" s="105"/>
      <c r="FO17" s="98"/>
      <c r="FP17" s="2"/>
      <c r="FQ17" s="3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</row>
    <row r="18" spans="2:185" x14ac:dyDescent="0.25">
      <c r="B18" s="109"/>
      <c r="C18" s="9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111" t="s">
        <v>617</v>
      </c>
      <c r="S18" s="98"/>
      <c r="T18" s="2">
        <v>250</v>
      </c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105"/>
      <c r="AI18" s="98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Y18" s="137" t="s">
        <v>384</v>
      </c>
      <c r="AZ18" s="98" t="s">
        <v>1008</v>
      </c>
      <c r="BA18" s="2">
        <v>250</v>
      </c>
      <c r="BB18" s="2">
        <v>3000</v>
      </c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O18" s="101"/>
      <c r="BP18" s="99"/>
      <c r="BQ18" s="2" t="s">
        <v>108</v>
      </c>
      <c r="BR18" s="2" t="s">
        <v>108</v>
      </c>
      <c r="BS18" s="2" t="s">
        <v>107</v>
      </c>
      <c r="BT18" s="2" t="s">
        <v>855</v>
      </c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H18" s="108"/>
      <c r="CI18" s="99"/>
      <c r="CJ18" s="2" t="s">
        <v>498</v>
      </c>
      <c r="CK18" s="2" t="s">
        <v>498</v>
      </c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DE18" s="137" t="s">
        <v>248</v>
      </c>
      <c r="DF18" s="98" t="s">
        <v>249</v>
      </c>
      <c r="DG18" s="2">
        <v>250</v>
      </c>
      <c r="DH18" s="2">
        <v>2500</v>
      </c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EC18" s="98" t="s">
        <v>481</v>
      </c>
      <c r="ED18" s="98" t="s">
        <v>1004</v>
      </c>
      <c r="EE18" s="2"/>
      <c r="EF18" s="2" t="s">
        <v>974</v>
      </c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W18" s="99"/>
      <c r="EX18" s="99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N18" s="106"/>
      <c r="FO18" s="99"/>
      <c r="FP18" s="2"/>
      <c r="FQ18" s="3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</row>
    <row r="19" spans="2:185" x14ac:dyDescent="0.25">
      <c r="B19" s="110"/>
      <c r="C19" s="99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112"/>
      <c r="S19" s="99"/>
      <c r="T19" s="2" t="s">
        <v>618</v>
      </c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106"/>
      <c r="AI19" s="99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Y19" s="138"/>
      <c r="AZ19" s="99"/>
      <c r="BA19" s="2" t="s">
        <v>385</v>
      </c>
      <c r="BB19" s="2" t="s">
        <v>385</v>
      </c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O19" s="100" t="s">
        <v>739</v>
      </c>
      <c r="BP19" s="98" t="s">
        <v>1026</v>
      </c>
      <c r="BQ19" s="2">
        <v>250</v>
      </c>
      <c r="BR19" s="2">
        <v>1500</v>
      </c>
      <c r="BS19" s="2">
        <v>10000</v>
      </c>
      <c r="BT19" s="2">
        <v>10000</v>
      </c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H19" s="107" t="s">
        <v>499</v>
      </c>
      <c r="CI19" s="98" t="s">
        <v>1061</v>
      </c>
      <c r="CJ19" s="2">
        <v>250</v>
      </c>
      <c r="CK19" s="2">
        <v>2500</v>
      </c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DE19" s="138"/>
      <c r="DF19" s="99"/>
      <c r="DG19" s="2" t="s">
        <v>250</v>
      </c>
      <c r="DH19" s="2" t="s">
        <v>250</v>
      </c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EC19" s="99"/>
      <c r="ED19" s="99"/>
      <c r="EE19" s="2"/>
      <c r="EF19" s="2" t="s">
        <v>975</v>
      </c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W19" s="98"/>
      <c r="EX19" s="98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N19" s="105"/>
      <c r="FO19" s="98"/>
      <c r="FP19" s="2"/>
      <c r="FQ19" s="3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</row>
    <row r="20" spans="2:185" x14ac:dyDescent="0.25">
      <c r="B20" s="109"/>
      <c r="C20" s="98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111" t="s">
        <v>846</v>
      </c>
      <c r="S20" s="98" t="s">
        <v>1012</v>
      </c>
      <c r="T20" s="2"/>
      <c r="U20" s="2">
        <v>650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105" t="s">
        <v>41</v>
      </c>
      <c r="AI20" s="98" t="s">
        <v>42</v>
      </c>
      <c r="AJ20" s="2">
        <v>250</v>
      </c>
      <c r="AK20" s="2"/>
      <c r="AL20" s="2">
        <v>2500</v>
      </c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Y20" s="137" t="s">
        <v>485</v>
      </c>
      <c r="AZ20" s="98"/>
      <c r="BA20" s="2"/>
      <c r="BB20" s="2">
        <v>500</v>
      </c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O20" s="101"/>
      <c r="BP20" s="99"/>
      <c r="BQ20" s="2" t="s">
        <v>105</v>
      </c>
      <c r="BR20" s="2" t="s">
        <v>150</v>
      </c>
      <c r="BS20" s="2" t="s">
        <v>105</v>
      </c>
      <c r="BT20" s="2" t="s">
        <v>852</v>
      </c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H20" s="108"/>
      <c r="CI20" s="99"/>
      <c r="CJ20" s="2" t="s">
        <v>730</v>
      </c>
      <c r="CK20" s="2" t="s">
        <v>730</v>
      </c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DE20" s="137" t="s">
        <v>99</v>
      </c>
      <c r="DF20" s="98" t="s">
        <v>647</v>
      </c>
      <c r="DG20" s="2">
        <v>250</v>
      </c>
      <c r="DH20" s="2">
        <v>2500</v>
      </c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EC20" s="98" t="s">
        <v>663</v>
      </c>
      <c r="ED20" s="98"/>
      <c r="EE20" s="2"/>
      <c r="EF20" s="2">
        <v>2500</v>
      </c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W20" s="99"/>
      <c r="EX20" s="99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N20" s="106"/>
      <c r="FO20" s="99"/>
      <c r="FP20" s="2"/>
      <c r="FQ20" s="3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</row>
    <row r="21" spans="2:185" x14ac:dyDescent="0.25">
      <c r="B21" s="110"/>
      <c r="C21" s="99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112"/>
      <c r="S21" s="99"/>
      <c r="T21" s="2"/>
      <c r="U21" s="2" t="s">
        <v>847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106"/>
      <c r="AI21" s="99"/>
      <c r="AJ21" s="2" t="s">
        <v>43</v>
      </c>
      <c r="AK21" s="2"/>
      <c r="AL21" s="2" t="s">
        <v>43</v>
      </c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Y21" s="138"/>
      <c r="AZ21" s="99"/>
      <c r="BA21" s="2"/>
      <c r="BB21" s="2" t="s">
        <v>486</v>
      </c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O21" s="100" t="s">
        <v>98</v>
      </c>
      <c r="BP21" s="98" t="s">
        <v>750</v>
      </c>
      <c r="BQ21" s="2">
        <v>250</v>
      </c>
      <c r="BR21" s="2">
        <v>1500</v>
      </c>
      <c r="BS21" s="2">
        <v>10000</v>
      </c>
      <c r="BT21" s="2">
        <v>10000</v>
      </c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H21" s="107"/>
      <c r="CI21" s="98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DE21" s="138"/>
      <c r="DF21" s="99"/>
      <c r="DG21" s="2" t="s">
        <v>648</v>
      </c>
      <c r="DH21" s="2" t="s">
        <v>648</v>
      </c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EC21" s="99"/>
      <c r="ED21" s="99"/>
      <c r="EE21" s="2"/>
      <c r="EF21" s="2" t="s">
        <v>664</v>
      </c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W21" s="98"/>
      <c r="EX21" s="98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</row>
    <row r="22" spans="2:185" x14ac:dyDescent="0.25">
      <c r="B22" s="109"/>
      <c r="C22" s="98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111" t="s">
        <v>848</v>
      </c>
      <c r="S22" s="98"/>
      <c r="T22" s="2"/>
      <c r="U22" s="2">
        <v>650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105" t="s">
        <v>44</v>
      </c>
      <c r="AI22" s="98" t="s">
        <v>45</v>
      </c>
      <c r="AJ22" s="2">
        <v>250</v>
      </c>
      <c r="AK22" s="2"/>
      <c r="AL22" s="2">
        <v>2500</v>
      </c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Y22" s="137" t="s">
        <v>606</v>
      </c>
      <c r="AZ22" s="98" t="s">
        <v>629</v>
      </c>
      <c r="BA22" s="2"/>
      <c r="BB22" s="2">
        <v>3000</v>
      </c>
      <c r="BC22" s="2">
        <v>3000</v>
      </c>
      <c r="BD22" s="2">
        <v>3000</v>
      </c>
      <c r="BE22" s="2"/>
      <c r="BF22" s="2"/>
      <c r="BG22" s="2"/>
      <c r="BH22" s="2"/>
      <c r="BI22" s="2"/>
      <c r="BJ22" s="2"/>
      <c r="BK22" s="2"/>
      <c r="BL22" s="2"/>
      <c r="BM22" s="2"/>
      <c r="BO22" s="101"/>
      <c r="BP22" s="99"/>
      <c r="BQ22" s="2" t="s">
        <v>760</v>
      </c>
      <c r="BR22" s="2" t="s">
        <v>740</v>
      </c>
      <c r="BS22" s="2" t="s">
        <v>760</v>
      </c>
      <c r="BT22" s="2" t="s">
        <v>856</v>
      </c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H22" s="108"/>
      <c r="CI22" s="99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DE22" s="137" t="s">
        <v>649</v>
      </c>
      <c r="DF22" s="98" t="s">
        <v>650</v>
      </c>
      <c r="DG22" s="2">
        <v>250</v>
      </c>
      <c r="DH22" s="2">
        <v>2500</v>
      </c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EC22" s="98" t="s">
        <v>735</v>
      </c>
      <c r="ED22" s="98" t="s">
        <v>1005</v>
      </c>
      <c r="EE22" s="2">
        <v>250</v>
      </c>
      <c r="EF22" s="2">
        <v>2500</v>
      </c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W22" s="99"/>
      <c r="EX22" s="99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</row>
    <row r="23" spans="2:185" x14ac:dyDescent="0.25">
      <c r="B23" s="110"/>
      <c r="C23" s="99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112"/>
      <c r="S23" s="99"/>
      <c r="T23" s="2"/>
      <c r="U23" s="2" t="s">
        <v>849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106"/>
      <c r="AI23" s="99"/>
      <c r="AJ23" s="2" t="s">
        <v>46</v>
      </c>
      <c r="AK23" s="2"/>
      <c r="AL23" s="2" t="s">
        <v>128</v>
      </c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Y23" s="138"/>
      <c r="AZ23" s="99"/>
      <c r="BA23" s="2"/>
      <c r="BB23" s="2" t="s">
        <v>607</v>
      </c>
      <c r="BC23" s="2" t="s">
        <v>607</v>
      </c>
      <c r="BD23" s="2" t="s">
        <v>607</v>
      </c>
      <c r="BE23" s="2"/>
      <c r="BF23" s="2"/>
      <c r="BG23" s="2"/>
      <c r="BH23" s="2"/>
      <c r="BI23" s="2"/>
      <c r="BJ23" s="2"/>
      <c r="BK23" s="2"/>
      <c r="BL23" s="2"/>
      <c r="BM23" s="2"/>
      <c r="BO23" s="100" t="s">
        <v>976</v>
      </c>
      <c r="BP23" s="98"/>
      <c r="BQ23" s="2"/>
      <c r="BR23" s="2"/>
      <c r="BS23" s="2">
        <v>10000</v>
      </c>
      <c r="BT23" s="2">
        <v>10000</v>
      </c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H23" s="107"/>
      <c r="CI23" s="98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DE23" s="138"/>
      <c r="DF23" s="99"/>
      <c r="DG23" s="2" t="s">
        <v>651</v>
      </c>
      <c r="DH23" s="2" t="s">
        <v>651</v>
      </c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EC23" s="99"/>
      <c r="ED23" s="99"/>
      <c r="EE23" s="2" t="s">
        <v>736</v>
      </c>
      <c r="EF23" s="2" t="s">
        <v>736</v>
      </c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W23" s="98"/>
      <c r="EX23" s="98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</row>
    <row r="24" spans="2:185" x14ac:dyDescent="0.25">
      <c r="B24" s="109"/>
      <c r="C24" s="98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111"/>
      <c r="S24" s="98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105" t="s">
        <v>101</v>
      </c>
      <c r="AI24" s="98"/>
      <c r="AJ24" s="2">
        <v>250</v>
      </c>
      <c r="AK24" s="2"/>
      <c r="AL24" s="2">
        <v>2500</v>
      </c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Y24" s="137" t="s">
        <v>652</v>
      </c>
      <c r="AZ24" s="98" t="s">
        <v>653</v>
      </c>
      <c r="BA24" s="2">
        <v>250</v>
      </c>
      <c r="BB24" s="2">
        <v>3000</v>
      </c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O24" s="101"/>
      <c r="BP24" s="99"/>
      <c r="BQ24" s="2"/>
      <c r="BR24" s="2"/>
      <c r="BS24" s="2" t="s">
        <v>977</v>
      </c>
      <c r="BT24" s="2" t="s">
        <v>977</v>
      </c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H24" s="108"/>
      <c r="CI24" s="99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DE24" s="137" t="s">
        <v>658</v>
      </c>
      <c r="DF24" s="98" t="s">
        <v>660</v>
      </c>
      <c r="DG24" s="2">
        <v>250</v>
      </c>
      <c r="DH24" s="2">
        <v>2500</v>
      </c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EC24" s="98" t="s">
        <v>906</v>
      </c>
      <c r="ED24" s="98" t="s">
        <v>1006</v>
      </c>
      <c r="EE24" s="2">
        <v>250</v>
      </c>
      <c r="EF24" s="2">
        <v>2500</v>
      </c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W24" s="99"/>
      <c r="EX24" s="99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</row>
    <row r="25" spans="2:185" x14ac:dyDescent="0.25">
      <c r="B25" s="110"/>
      <c r="C25" s="99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12"/>
      <c r="S25" s="99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106"/>
      <c r="AI25" s="99"/>
      <c r="AJ25" s="2" t="s">
        <v>102</v>
      </c>
      <c r="AK25" s="2"/>
      <c r="AL25" s="2" t="s">
        <v>102</v>
      </c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Y25" s="138"/>
      <c r="AZ25" s="99"/>
      <c r="BA25" s="2" t="s">
        <v>654</v>
      </c>
      <c r="BB25" s="2" t="s">
        <v>654</v>
      </c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O25" s="100"/>
      <c r="BP25" s="98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H25" s="107"/>
      <c r="CI25" s="98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DE25" s="138"/>
      <c r="DF25" s="99"/>
      <c r="DG25" s="2" t="s">
        <v>659</v>
      </c>
      <c r="DH25" s="2" t="s">
        <v>659</v>
      </c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EC25" s="99"/>
      <c r="ED25" s="99"/>
      <c r="EE25" s="2" t="s">
        <v>907</v>
      </c>
      <c r="EF25" s="2" t="s">
        <v>907</v>
      </c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W25" s="98"/>
      <c r="EX25" s="98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</row>
    <row r="26" spans="2:185" x14ac:dyDescent="0.25">
      <c r="B26" s="109"/>
      <c r="C26" s="98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111"/>
      <c r="S26" s="98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105" t="s">
        <v>103</v>
      </c>
      <c r="AI26" s="98"/>
      <c r="AJ26" s="2">
        <v>250</v>
      </c>
      <c r="AK26" s="2"/>
      <c r="AL26" s="2">
        <v>2500</v>
      </c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Y26" s="137" t="s">
        <v>655</v>
      </c>
      <c r="AZ26" s="98" t="s">
        <v>656</v>
      </c>
      <c r="BA26" s="2">
        <v>250</v>
      </c>
      <c r="BB26" s="2">
        <v>3000</v>
      </c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O26" s="101"/>
      <c r="BP26" s="99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H26" s="108"/>
      <c r="CI26" s="99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DE26" s="137" t="s">
        <v>724</v>
      </c>
      <c r="DF26" s="98" t="s">
        <v>1011</v>
      </c>
      <c r="DG26" s="2" t="s">
        <v>726</v>
      </c>
      <c r="DH26" s="2">
        <v>2500</v>
      </c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EC26" s="98"/>
      <c r="ED26" s="98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W26" s="99"/>
      <c r="EX26" s="99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</row>
    <row r="27" spans="2:185" x14ac:dyDescent="0.25">
      <c r="B27" s="110"/>
      <c r="C27" s="99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112"/>
      <c r="S27" s="99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106"/>
      <c r="AI27" s="99"/>
      <c r="AJ27" s="2" t="s">
        <v>104</v>
      </c>
      <c r="AK27" s="2"/>
      <c r="AL27" s="2" t="s">
        <v>104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Y27" s="138"/>
      <c r="AZ27" s="99"/>
      <c r="BA27" s="2" t="s">
        <v>657</v>
      </c>
      <c r="BB27" s="2" t="s">
        <v>657</v>
      </c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O27" s="100"/>
      <c r="BP27" s="98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H27" s="107"/>
      <c r="CI27" s="98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DE27" s="138"/>
      <c r="DF27" s="99"/>
      <c r="DG27" s="2" t="s">
        <v>725</v>
      </c>
      <c r="DH27" s="2" t="s">
        <v>725</v>
      </c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EC27" s="99"/>
      <c r="ED27" s="99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W27" s="98"/>
      <c r="EX27" s="98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</row>
    <row r="28" spans="2:185" x14ac:dyDescent="0.25">
      <c r="B28" s="109"/>
      <c r="C28" s="98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111"/>
      <c r="S28" s="98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105" t="s">
        <v>111</v>
      </c>
      <c r="AI28" s="98" t="s">
        <v>1013</v>
      </c>
      <c r="AJ28" s="2">
        <v>250</v>
      </c>
      <c r="AK28" s="2"/>
      <c r="AL28" s="2">
        <v>1250</v>
      </c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Y28" s="137" t="s">
        <v>649</v>
      </c>
      <c r="AZ28" s="98" t="s">
        <v>1009</v>
      </c>
      <c r="BA28" s="2">
        <v>250</v>
      </c>
      <c r="BB28" s="2" t="s">
        <v>890</v>
      </c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O28" s="101"/>
      <c r="BP28" s="99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H28" s="108"/>
      <c r="CI28" s="99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DE28" s="137" t="s">
        <v>893</v>
      </c>
      <c r="DF28" s="139" t="s">
        <v>894</v>
      </c>
      <c r="DG28" s="32">
        <v>250</v>
      </c>
      <c r="DH28" s="32">
        <v>2500</v>
      </c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EC28" s="98"/>
      <c r="ED28" s="98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W28" s="99"/>
      <c r="EX28" s="99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</row>
    <row r="29" spans="2:185" x14ac:dyDescent="0.25">
      <c r="B29" s="110"/>
      <c r="C29" s="9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112"/>
      <c r="S29" s="99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106"/>
      <c r="AI29" s="99"/>
      <c r="AJ29" s="2" t="s">
        <v>112</v>
      </c>
      <c r="AK29" s="2"/>
      <c r="AL29" s="2" t="s">
        <v>112</v>
      </c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Y29" s="138"/>
      <c r="AZ29" s="99"/>
      <c r="BA29" s="2" t="s">
        <v>662</v>
      </c>
      <c r="BB29" s="2" t="s">
        <v>891</v>
      </c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O29" s="100"/>
      <c r="BP29" s="98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DE29" s="138"/>
      <c r="DF29" s="140"/>
      <c r="DG29" s="32" t="s">
        <v>895</v>
      </c>
      <c r="DH29" s="32" t="s">
        <v>895</v>
      </c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EC29" s="99"/>
      <c r="ED29" s="99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W29" s="98"/>
      <c r="EX29" s="98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</row>
    <row r="30" spans="2:185" x14ac:dyDescent="0.25">
      <c r="B30" s="109"/>
      <c r="C30" s="98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111"/>
      <c r="S30" s="98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105" t="s">
        <v>143</v>
      </c>
      <c r="AI30" s="98" t="s">
        <v>1014</v>
      </c>
      <c r="AJ30" s="2">
        <v>250</v>
      </c>
      <c r="AK30" s="2">
        <v>1500</v>
      </c>
      <c r="AL30" s="2">
        <v>2500</v>
      </c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Y30" s="137" t="s">
        <v>737</v>
      </c>
      <c r="AZ30" s="98" t="s">
        <v>1010</v>
      </c>
      <c r="BA30" s="2">
        <v>250</v>
      </c>
      <c r="BB30" s="2">
        <v>3000</v>
      </c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O30" s="101"/>
      <c r="BP30" s="99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DE30" s="137" t="s">
        <v>896</v>
      </c>
      <c r="DF30" s="98" t="s">
        <v>903</v>
      </c>
      <c r="DG30" s="2">
        <v>250</v>
      </c>
      <c r="DH30" s="2">
        <v>2500</v>
      </c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EC30" s="98"/>
      <c r="ED30" s="98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W30" s="99"/>
      <c r="EX30" s="99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</row>
    <row r="31" spans="2:185" x14ac:dyDescent="0.25">
      <c r="B31" s="110"/>
      <c r="C31" s="9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112"/>
      <c r="S31" s="99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106"/>
      <c r="AI31" s="99"/>
      <c r="AJ31" s="2" t="s">
        <v>125</v>
      </c>
      <c r="AK31" s="2" t="s">
        <v>144</v>
      </c>
      <c r="AL31" s="2" t="s">
        <v>125</v>
      </c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Y31" s="138"/>
      <c r="AZ31" s="99"/>
      <c r="BA31" s="2" t="s">
        <v>738</v>
      </c>
      <c r="BB31" s="2" t="s">
        <v>738</v>
      </c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O31" s="100"/>
      <c r="BP31" s="98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DE31" s="138"/>
      <c r="DF31" s="99"/>
      <c r="DG31" s="2" t="s">
        <v>897</v>
      </c>
      <c r="DH31" s="2" t="s">
        <v>897</v>
      </c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EC31" s="99"/>
      <c r="ED31" s="99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W31" s="98"/>
      <c r="EX31" s="98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</row>
    <row r="32" spans="2:185" x14ac:dyDescent="0.25">
      <c r="B32" s="109"/>
      <c r="C32" s="98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111"/>
      <c r="S32" s="98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105" t="s">
        <v>447</v>
      </c>
      <c r="AI32" s="98"/>
      <c r="AJ32" s="2">
        <v>250</v>
      </c>
      <c r="AK32" s="2"/>
      <c r="AL32" s="2">
        <v>2500</v>
      </c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Y32" s="137" t="s">
        <v>885</v>
      </c>
      <c r="AZ32" s="98" t="s">
        <v>886</v>
      </c>
      <c r="BA32" s="2">
        <v>250</v>
      </c>
      <c r="BB32" s="2">
        <v>3000</v>
      </c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O32" s="101"/>
      <c r="BP32" s="99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DE32" s="137" t="s">
        <v>898</v>
      </c>
      <c r="DF32" s="98" t="s">
        <v>904</v>
      </c>
      <c r="DG32" s="2">
        <v>250</v>
      </c>
      <c r="DH32" s="2">
        <v>2500</v>
      </c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EC32" s="98"/>
      <c r="ED32" s="98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W32" s="99"/>
      <c r="EX32" s="99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</row>
    <row r="33" spans="2:147" x14ac:dyDescent="0.25">
      <c r="B33" s="110"/>
      <c r="C33" s="9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112"/>
      <c r="S33" s="99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106"/>
      <c r="AI33" s="99"/>
      <c r="AJ33" s="2" t="s">
        <v>129</v>
      </c>
      <c r="AK33" s="2"/>
      <c r="AL33" s="2" t="s">
        <v>129</v>
      </c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Y33" s="138"/>
      <c r="AZ33" s="99"/>
      <c r="BA33" s="2" t="s">
        <v>887</v>
      </c>
      <c r="BB33" s="2" t="s">
        <v>887</v>
      </c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O33" s="100"/>
      <c r="BP33" s="98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DE33" s="138"/>
      <c r="DF33" s="99"/>
      <c r="DG33" s="2" t="s">
        <v>899</v>
      </c>
      <c r="DH33" s="2" t="s">
        <v>899</v>
      </c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EC33" s="99"/>
      <c r="ED33" s="99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</row>
    <row r="34" spans="2:147" x14ac:dyDescent="0.25">
      <c r="B34" s="109"/>
      <c r="C34" s="98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111"/>
      <c r="S34" s="98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105" t="s">
        <v>131</v>
      </c>
      <c r="AI34" s="98" t="s">
        <v>1015</v>
      </c>
      <c r="AJ34" s="2">
        <v>250</v>
      </c>
      <c r="AK34" s="2"/>
      <c r="AL34" s="2">
        <v>2500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Y34" s="137" t="s">
        <v>156</v>
      </c>
      <c r="AZ34" s="98" t="s">
        <v>888</v>
      </c>
      <c r="BA34" s="2"/>
      <c r="BB34" s="2">
        <v>3000</v>
      </c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O34" s="101"/>
      <c r="BP34" s="99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DE34" s="137" t="s">
        <v>900</v>
      </c>
      <c r="DF34" s="98" t="s">
        <v>902</v>
      </c>
      <c r="DG34" s="2">
        <v>250</v>
      </c>
      <c r="DH34" s="2">
        <v>2500</v>
      </c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</row>
    <row r="35" spans="2:147" x14ac:dyDescent="0.25">
      <c r="B35" s="110"/>
      <c r="C35" s="9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112"/>
      <c r="S35" s="99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106"/>
      <c r="AI35" s="99"/>
      <c r="AJ35" s="2" t="s">
        <v>132</v>
      </c>
      <c r="AK35" s="2"/>
      <c r="AL35" s="2" t="s">
        <v>132</v>
      </c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Y35" s="138"/>
      <c r="AZ35" s="99"/>
      <c r="BA35" s="2"/>
      <c r="BB35" s="2" t="s">
        <v>889</v>
      </c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O35" s="100"/>
      <c r="BP35" s="98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DE35" s="138"/>
      <c r="DF35" s="99"/>
      <c r="DG35" s="2" t="s">
        <v>901</v>
      </c>
      <c r="DH35" s="2" t="s">
        <v>901</v>
      </c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</row>
    <row r="36" spans="2:147" x14ac:dyDescent="0.25">
      <c r="B36" s="109"/>
      <c r="C36" s="98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111"/>
      <c r="S36" s="98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105" t="s">
        <v>142</v>
      </c>
      <c r="AI36" s="98" t="s">
        <v>1016</v>
      </c>
      <c r="AJ36" s="2">
        <v>250</v>
      </c>
      <c r="AK36" s="2"/>
      <c r="AL36" s="2">
        <v>2500</v>
      </c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Y36" s="137"/>
      <c r="AZ36" s="98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O36" s="101"/>
      <c r="BP36" s="99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DE36" s="137"/>
      <c r="DF36" s="98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</row>
    <row r="37" spans="2:147" x14ac:dyDescent="0.25">
      <c r="B37" s="110"/>
      <c r="C37" s="9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112"/>
      <c r="S37" s="99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106"/>
      <c r="AI37" s="99"/>
      <c r="AJ37" s="2" t="s">
        <v>133</v>
      </c>
      <c r="AK37" s="2"/>
      <c r="AL37" s="2" t="s">
        <v>133</v>
      </c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Y37" s="138"/>
      <c r="AZ37" s="99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O37" s="100"/>
      <c r="BP37" s="98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DE37" s="138"/>
      <c r="DF37" s="99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</row>
    <row r="38" spans="2:147" x14ac:dyDescent="0.25">
      <c r="B38" s="109"/>
      <c r="C38" s="98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111"/>
      <c r="S38" s="98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105" t="s">
        <v>134</v>
      </c>
      <c r="AI38" s="98" t="s">
        <v>1017</v>
      </c>
      <c r="AJ38" s="2">
        <v>250</v>
      </c>
      <c r="AK38" s="2"/>
      <c r="AL38" s="2">
        <v>2500</v>
      </c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Y38" s="137"/>
      <c r="AZ38" s="98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O38" s="101"/>
      <c r="BP38" s="99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DE38" s="137"/>
      <c r="DF38" s="98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</row>
    <row r="39" spans="2:147" x14ac:dyDescent="0.25">
      <c r="B39" s="110"/>
      <c r="C39" s="99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112"/>
      <c r="S39" s="99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106"/>
      <c r="AI39" s="99"/>
      <c r="AJ39" s="2" t="s">
        <v>135</v>
      </c>
      <c r="AK39" s="2"/>
      <c r="AL39" s="2" t="s">
        <v>135</v>
      </c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Y39" s="138"/>
      <c r="AZ39" s="99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O39" s="100"/>
      <c r="BP39" s="98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DE39" s="138"/>
      <c r="DF39" s="99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</row>
    <row r="40" spans="2:147" x14ac:dyDescent="0.25">
      <c r="B40" s="109"/>
      <c r="C40" s="98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111"/>
      <c r="S40" s="98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105" t="s">
        <v>136</v>
      </c>
      <c r="AI40" s="98" t="s">
        <v>1018</v>
      </c>
      <c r="AJ40" s="2">
        <v>250</v>
      </c>
      <c r="AK40" s="2"/>
      <c r="AL40" s="2">
        <v>2500</v>
      </c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Y40" s="137"/>
      <c r="AZ40" s="98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O40" s="101"/>
      <c r="BP40" s="99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DE40" s="137"/>
      <c r="DF40" s="98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</row>
    <row r="41" spans="2:147" x14ac:dyDescent="0.25">
      <c r="B41" s="110"/>
      <c r="C41" s="99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112"/>
      <c r="S41" s="99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106"/>
      <c r="AI41" s="99"/>
      <c r="AJ41" s="2" t="s">
        <v>137</v>
      </c>
      <c r="AK41" s="2"/>
      <c r="AL41" s="2" t="s">
        <v>137</v>
      </c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Y41" s="138"/>
      <c r="AZ41" s="99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O41" s="100"/>
      <c r="BP41" s="98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DE41" s="138"/>
      <c r="DF41" s="99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</row>
    <row r="42" spans="2:147" x14ac:dyDescent="0.25">
      <c r="B42" s="109"/>
      <c r="C42" s="98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111"/>
      <c r="S42" s="98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105" t="s">
        <v>255</v>
      </c>
      <c r="AI42" s="98" t="s">
        <v>1019</v>
      </c>
      <c r="AJ42" s="2">
        <v>250</v>
      </c>
      <c r="AK42" s="2"/>
      <c r="AL42" s="2">
        <v>2500</v>
      </c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Y42" s="137"/>
      <c r="AZ42" s="98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O42" s="101"/>
      <c r="BP42" s="99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DE42" s="137"/>
      <c r="DF42" s="98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</row>
    <row r="43" spans="2:147" x14ac:dyDescent="0.25">
      <c r="B43" s="110"/>
      <c r="C43" s="99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112"/>
      <c r="S43" s="99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106"/>
      <c r="AI43" s="99"/>
      <c r="AJ43" s="2" t="s">
        <v>256</v>
      </c>
      <c r="AK43" s="2"/>
      <c r="AL43" s="2" t="s">
        <v>256</v>
      </c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Y43" s="138"/>
      <c r="AZ43" s="99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O43" s="100"/>
      <c r="BP43" s="98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DE43" s="138"/>
      <c r="DF43" s="99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</row>
    <row r="44" spans="2:147" x14ac:dyDescent="0.25">
      <c r="B44" s="109"/>
      <c r="C44" s="98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111"/>
      <c r="S44" s="98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105" t="s">
        <v>257</v>
      </c>
      <c r="AI44" s="98" t="s">
        <v>258</v>
      </c>
      <c r="AJ44" s="2">
        <v>250</v>
      </c>
      <c r="AK44" s="2"/>
      <c r="AL44" s="2">
        <v>2500</v>
      </c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Y44" s="137"/>
      <c r="AZ44" s="98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O44" s="101"/>
      <c r="BP44" s="99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DE44" s="137"/>
      <c r="DF44" s="98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</row>
    <row r="45" spans="2:147" x14ac:dyDescent="0.25">
      <c r="B45" s="110"/>
      <c r="C45" s="99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112"/>
      <c r="S45" s="99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106"/>
      <c r="AI45" s="99"/>
      <c r="AJ45" s="2" t="s">
        <v>259</v>
      </c>
      <c r="AK45" s="2"/>
      <c r="AL45" s="2" t="s">
        <v>259</v>
      </c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Y45" s="138"/>
      <c r="AZ45" s="99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DE45" s="138"/>
      <c r="DF45" s="99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</row>
    <row r="46" spans="2:147" x14ac:dyDescent="0.25">
      <c r="AH46" s="105" t="s">
        <v>476</v>
      </c>
      <c r="AI46" s="98" t="s">
        <v>477</v>
      </c>
      <c r="AJ46" s="2">
        <v>250</v>
      </c>
      <c r="AK46" s="2"/>
      <c r="AL46" s="2">
        <v>2500</v>
      </c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</row>
    <row r="47" spans="2:147" x14ac:dyDescent="0.25">
      <c r="AH47" s="106"/>
      <c r="AI47" s="99"/>
      <c r="AJ47" s="2" t="s">
        <v>478</v>
      </c>
      <c r="AK47" s="2"/>
      <c r="AL47" s="2" t="s">
        <v>478</v>
      </c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</row>
    <row r="48" spans="2:147" x14ac:dyDescent="0.25">
      <c r="AH48" s="105" t="s">
        <v>614</v>
      </c>
      <c r="AI48" s="98" t="s">
        <v>616</v>
      </c>
      <c r="AJ48" s="2">
        <v>250</v>
      </c>
      <c r="AK48" s="2"/>
      <c r="AL48" s="2">
        <v>2500</v>
      </c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</row>
    <row r="49" spans="34:49" x14ac:dyDescent="0.25">
      <c r="AH49" s="106"/>
      <c r="AI49" s="99"/>
      <c r="AJ49" s="2" t="s">
        <v>615</v>
      </c>
      <c r="AK49" s="2"/>
      <c r="AL49" s="2" t="s">
        <v>615</v>
      </c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</row>
    <row r="50" spans="34:49" x14ac:dyDescent="0.25">
      <c r="AH50" s="105" t="s">
        <v>779</v>
      </c>
      <c r="AI50" s="98" t="s">
        <v>1020</v>
      </c>
      <c r="AJ50" s="2">
        <v>250</v>
      </c>
      <c r="AK50" s="2"/>
      <c r="AL50" s="2">
        <v>2500</v>
      </c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</row>
    <row r="51" spans="34:49" x14ac:dyDescent="0.25">
      <c r="AH51" s="106"/>
      <c r="AI51" s="99"/>
      <c r="AJ51" s="2" t="s">
        <v>780</v>
      </c>
      <c r="AK51" s="2"/>
      <c r="AL51" s="2" t="s">
        <v>780</v>
      </c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</row>
    <row r="52" spans="34:49" x14ac:dyDescent="0.25">
      <c r="AH52" s="105" t="s">
        <v>781</v>
      </c>
      <c r="AI52" s="98" t="s">
        <v>1021</v>
      </c>
      <c r="AJ52" s="2">
        <v>250</v>
      </c>
      <c r="AK52" s="2"/>
      <c r="AL52" s="2">
        <v>2500</v>
      </c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</row>
    <row r="53" spans="34:49" x14ac:dyDescent="0.25">
      <c r="AH53" s="106"/>
      <c r="AI53" s="99"/>
      <c r="AJ53" s="2" t="s">
        <v>782</v>
      </c>
      <c r="AK53" s="2"/>
      <c r="AL53" s="2" t="s">
        <v>782</v>
      </c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</row>
    <row r="54" spans="34:49" x14ac:dyDescent="0.25">
      <c r="AH54" s="105"/>
      <c r="AI54" s="98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</row>
    <row r="55" spans="34:49" x14ac:dyDescent="0.25">
      <c r="AH55" s="106"/>
      <c r="AI55" s="99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</row>
    <row r="56" spans="34:49" x14ac:dyDescent="0.25">
      <c r="AH56" s="105"/>
      <c r="AI56" s="98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</row>
    <row r="57" spans="34:49" x14ac:dyDescent="0.25">
      <c r="AH57" s="106"/>
      <c r="AI57" s="99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</row>
    <row r="58" spans="34:49" x14ac:dyDescent="0.25">
      <c r="AH58" s="105"/>
      <c r="AI58" s="98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</row>
    <row r="59" spans="34:49" x14ac:dyDescent="0.25">
      <c r="AH59" s="106"/>
      <c r="AI59" s="99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</row>
    <row r="60" spans="34:49" x14ac:dyDescent="0.25">
      <c r="AH60" s="105"/>
      <c r="AI60" s="98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</row>
    <row r="61" spans="34:49" x14ac:dyDescent="0.25">
      <c r="AH61" s="106"/>
      <c r="AI61" s="99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</row>
    <row r="62" spans="34:49" x14ac:dyDescent="0.25">
      <c r="AH62" s="105"/>
      <c r="AI62" s="98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</row>
    <row r="63" spans="34:49" x14ac:dyDescent="0.25">
      <c r="AH63" s="106"/>
      <c r="AI63" s="99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</row>
  </sheetData>
  <mergeCells count="344">
    <mergeCell ref="FN13:FN14"/>
    <mergeCell ref="FO13:FO14"/>
    <mergeCell ref="FN15:FN16"/>
    <mergeCell ref="FO15:FO16"/>
    <mergeCell ref="FN17:FN18"/>
    <mergeCell ref="FO17:FO18"/>
    <mergeCell ref="FN19:FN20"/>
    <mergeCell ref="FO19:FO20"/>
    <mergeCell ref="FN9:FN10"/>
    <mergeCell ref="FO9:FO10"/>
    <mergeCell ref="FQ4:FV5"/>
    <mergeCell ref="FN7:FN8"/>
    <mergeCell ref="FO7:FO8"/>
    <mergeCell ref="DF8:DF9"/>
    <mergeCell ref="DF10:DF11"/>
    <mergeCell ref="DF12:DF13"/>
    <mergeCell ref="DF14:DF15"/>
    <mergeCell ref="DG4:DL6"/>
    <mergeCell ref="EF4:EK6"/>
    <mergeCell ref="EZ3:FE5"/>
    <mergeCell ref="EW7:EW8"/>
    <mergeCell ref="EX7:EX8"/>
    <mergeCell ref="EW9:EW10"/>
    <mergeCell ref="EX9:EX10"/>
    <mergeCell ref="EW11:EW12"/>
    <mergeCell ref="EX11:EX12"/>
    <mergeCell ref="EW13:EW14"/>
    <mergeCell ref="EX13:EX14"/>
    <mergeCell ref="EW15:EW16"/>
    <mergeCell ref="EX15:EX16"/>
    <mergeCell ref="FN11:FN12"/>
    <mergeCell ref="FO11:FO12"/>
    <mergeCell ref="EC8:EC9"/>
    <mergeCell ref="ED8:ED9"/>
    <mergeCell ref="EC10:EC11"/>
    <mergeCell ref="ED10:ED11"/>
    <mergeCell ref="DF22:DF23"/>
    <mergeCell ref="DF24:DF25"/>
    <mergeCell ref="DF26:DF27"/>
    <mergeCell ref="DF28:DF29"/>
    <mergeCell ref="DF30:DF31"/>
    <mergeCell ref="EC12:EC13"/>
    <mergeCell ref="ED12:ED13"/>
    <mergeCell ref="EC14:EC15"/>
    <mergeCell ref="ED14:ED15"/>
    <mergeCell ref="EC16:EC17"/>
    <mergeCell ref="ED16:ED17"/>
    <mergeCell ref="ED28:ED29"/>
    <mergeCell ref="ED18:ED19"/>
    <mergeCell ref="DE42:DE43"/>
    <mergeCell ref="DE44:DE45"/>
    <mergeCell ref="DE28:DE29"/>
    <mergeCell ref="DE30:DE31"/>
    <mergeCell ref="DE32:DE33"/>
    <mergeCell ref="DE34:DE35"/>
    <mergeCell ref="DE36:DE37"/>
    <mergeCell ref="DE40:DE41"/>
    <mergeCell ref="EC18:EC19"/>
    <mergeCell ref="DF40:DF41"/>
    <mergeCell ref="DF42:DF43"/>
    <mergeCell ref="DF44:DF45"/>
    <mergeCell ref="DF32:DF33"/>
    <mergeCell ref="DF34:DF35"/>
    <mergeCell ref="DF36:DF37"/>
    <mergeCell ref="DF38:DF39"/>
    <mergeCell ref="EC20:EC21"/>
    <mergeCell ref="DF18:DF19"/>
    <mergeCell ref="DF20:DF21"/>
    <mergeCell ref="EC28:EC29"/>
    <mergeCell ref="AY44:AY45"/>
    <mergeCell ref="AZ44:AZ45"/>
    <mergeCell ref="AY34:AY35"/>
    <mergeCell ref="AZ34:AZ35"/>
    <mergeCell ref="AY36:AY37"/>
    <mergeCell ref="AZ36:AZ37"/>
    <mergeCell ref="AY38:AY39"/>
    <mergeCell ref="AZ38:AZ39"/>
    <mergeCell ref="AY22:AY23"/>
    <mergeCell ref="AZ22:AZ23"/>
    <mergeCell ref="AY24:AY25"/>
    <mergeCell ref="AZ24:AZ25"/>
    <mergeCell ref="AY28:AY29"/>
    <mergeCell ref="AZ28:AZ29"/>
    <mergeCell ref="BO37:BO38"/>
    <mergeCell ref="BP37:BP38"/>
    <mergeCell ref="BO39:BO40"/>
    <mergeCell ref="BP39:BP40"/>
    <mergeCell ref="AY40:AY41"/>
    <mergeCell ref="AZ40:AZ41"/>
    <mergeCell ref="BO41:BO42"/>
    <mergeCell ref="BP41:BP42"/>
    <mergeCell ref="DE8:DE9"/>
    <mergeCell ref="DE22:DE23"/>
    <mergeCell ref="DE24:DE25"/>
    <mergeCell ref="DE26:DE27"/>
    <mergeCell ref="AY42:AY43"/>
    <mergeCell ref="AZ42:AZ43"/>
    <mergeCell ref="DE38:DE39"/>
    <mergeCell ref="BO27:BO28"/>
    <mergeCell ref="BP27:BP28"/>
    <mergeCell ref="BO29:BO30"/>
    <mergeCell ref="DE10:DE11"/>
    <mergeCell ref="DE12:DE13"/>
    <mergeCell ref="DE14:DE15"/>
    <mergeCell ref="DE16:DE17"/>
    <mergeCell ref="DE18:DE19"/>
    <mergeCell ref="DE20:DE21"/>
    <mergeCell ref="BA5:BF6"/>
    <mergeCell ref="AY8:AY9"/>
    <mergeCell ref="AZ8:AZ9"/>
    <mergeCell ref="AY10:AY11"/>
    <mergeCell ref="AZ10:AZ11"/>
    <mergeCell ref="AH40:AH41"/>
    <mergeCell ref="AI40:AI41"/>
    <mergeCell ref="AY18:AY19"/>
    <mergeCell ref="AZ18:AZ19"/>
    <mergeCell ref="AY26:AY27"/>
    <mergeCell ref="AZ26:AZ27"/>
    <mergeCell ref="AY20:AY21"/>
    <mergeCell ref="AZ20:AZ21"/>
    <mergeCell ref="AY12:AY13"/>
    <mergeCell ref="AZ12:AZ13"/>
    <mergeCell ref="AY14:AY15"/>
    <mergeCell ref="AZ14:AZ15"/>
    <mergeCell ref="AY16:AY17"/>
    <mergeCell ref="AZ16:AZ17"/>
    <mergeCell ref="AH22:AH23"/>
    <mergeCell ref="AY30:AY31"/>
    <mergeCell ref="AZ30:AZ31"/>
    <mergeCell ref="AY32:AY33"/>
    <mergeCell ref="AZ32:AZ33"/>
    <mergeCell ref="AH44:AH45"/>
    <mergeCell ref="AI44:AI45"/>
    <mergeCell ref="AH42:AH43"/>
    <mergeCell ref="AI42:AI43"/>
    <mergeCell ref="AI22:AI23"/>
    <mergeCell ref="AH24:AH25"/>
    <mergeCell ref="AI24:AI25"/>
    <mergeCell ref="AH26:AH27"/>
    <mergeCell ref="AI26:AI27"/>
    <mergeCell ref="AH34:AH35"/>
    <mergeCell ref="AI34:AI35"/>
    <mergeCell ref="AH36:AH37"/>
    <mergeCell ref="AI36:AI37"/>
    <mergeCell ref="AH38:AH39"/>
    <mergeCell ref="AI38:AI39"/>
    <mergeCell ref="AH28:AH29"/>
    <mergeCell ref="AI28:AI29"/>
    <mergeCell ref="AH30:AH31"/>
    <mergeCell ref="AI30:AI31"/>
    <mergeCell ref="AH32:AH33"/>
    <mergeCell ref="AI32:AI33"/>
    <mergeCell ref="R42:R43"/>
    <mergeCell ref="S42:S43"/>
    <mergeCell ref="R44:R45"/>
    <mergeCell ref="S44:S45"/>
    <mergeCell ref="AK5:AP6"/>
    <mergeCell ref="AH8:AH9"/>
    <mergeCell ref="AI8:AI9"/>
    <mergeCell ref="AH10:AH11"/>
    <mergeCell ref="AI10:AI11"/>
    <mergeCell ref="AH12:AH13"/>
    <mergeCell ref="AI12:AI13"/>
    <mergeCell ref="AH14:AH15"/>
    <mergeCell ref="AI14:AI15"/>
    <mergeCell ref="AH16:AH17"/>
    <mergeCell ref="AI16:AI17"/>
    <mergeCell ref="AH18:AH19"/>
    <mergeCell ref="R36:R37"/>
    <mergeCell ref="S36:S37"/>
    <mergeCell ref="R38:R39"/>
    <mergeCell ref="S38:S39"/>
    <mergeCell ref="R40:R41"/>
    <mergeCell ref="S40:S41"/>
    <mergeCell ref="R30:R31"/>
    <mergeCell ref="S30:S31"/>
    <mergeCell ref="R32:R33"/>
    <mergeCell ref="S32:S33"/>
    <mergeCell ref="R34:R35"/>
    <mergeCell ref="S34:S35"/>
    <mergeCell ref="R24:R25"/>
    <mergeCell ref="S24:S25"/>
    <mergeCell ref="R26:R27"/>
    <mergeCell ref="S26:S27"/>
    <mergeCell ref="R28:R29"/>
    <mergeCell ref="S28:S29"/>
    <mergeCell ref="B32:B33"/>
    <mergeCell ref="C32:C33"/>
    <mergeCell ref="B22:B23"/>
    <mergeCell ref="C22:C23"/>
    <mergeCell ref="B12:B13"/>
    <mergeCell ref="C12:C13"/>
    <mergeCell ref="U5:Z6"/>
    <mergeCell ref="R8:R9"/>
    <mergeCell ref="S8:S9"/>
    <mergeCell ref="R10:R11"/>
    <mergeCell ref="S10:S11"/>
    <mergeCell ref="R12:R13"/>
    <mergeCell ref="S12:S13"/>
    <mergeCell ref="E5:J6"/>
    <mergeCell ref="B8:B9"/>
    <mergeCell ref="C8:C9"/>
    <mergeCell ref="B10:B11"/>
    <mergeCell ref="C10:C11"/>
    <mergeCell ref="R14:R15"/>
    <mergeCell ref="S14:S15"/>
    <mergeCell ref="R16:R17"/>
    <mergeCell ref="S16:S17"/>
    <mergeCell ref="R18:R19"/>
    <mergeCell ref="S18:S19"/>
    <mergeCell ref="B34:B35"/>
    <mergeCell ref="C34:C35"/>
    <mergeCell ref="B42:B43"/>
    <mergeCell ref="C42:C43"/>
    <mergeCell ref="B44:B45"/>
    <mergeCell ref="C44:C45"/>
    <mergeCell ref="B36:B37"/>
    <mergeCell ref="C36:C37"/>
    <mergeCell ref="B38:B39"/>
    <mergeCell ref="C38:C39"/>
    <mergeCell ref="B40:B41"/>
    <mergeCell ref="C40:C41"/>
    <mergeCell ref="B28:B29"/>
    <mergeCell ref="C28:C29"/>
    <mergeCell ref="B30:B31"/>
    <mergeCell ref="C30:C31"/>
    <mergeCell ref="BO17:BO18"/>
    <mergeCell ref="R20:R21"/>
    <mergeCell ref="S20:S21"/>
    <mergeCell ref="R22:R23"/>
    <mergeCell ref="S22:S23"/>
    <mergeCell ref="AI18:AI19"/>
    <mergeCell ref="AH20:AH21"/>
    <mergeCell ref="AI20:AI21"/>
    <mergeCell ref="BO19:BO20"/>
    <mergeCell ref="BO25:BO26"/>
    <mergeCell ref="B16:B17"/>
    <mergeCell ref="C16:C17"/>
    <mergeCell ref="B18:B19"/>
    <mergeCell ref="C18:C19"/>
    <mergeCell ref="B20:B21"/>
    <mergeCell ref="C20:C21"/>
    <mergeCell ref="BO21:BO22"/>
    <mergeCell ref="BP7:BP8"/>
    <mergeCell ref="BO9:BO10"/>
    <mergeCell ref="BP9:BP10"/>
    <mergeCell ref="BO11:BO12"/>
    <mergeCell ref="BP11:BP12"/>
    <mergeCell ref="BO13:BO14"/>
    <mergeCell ref="BP13:BP14"/>
    <mergeCell ref="CH7:CH8"/>
    <mergeCell ref="B24:B25"/>
    <mergeCell ref="C24:C25"/>
    <mergeCell ref="B14:B15"/>
    <mergeCell ref="C14:C15"/>
    <mergeCell ref="BP17:BP18"/>
    <mergeCell ref="BP21:BP22"/>
    <mergeCell ref="BP23:BP24"/>
    <mergeCell ref="BP25:BP26"/>
    <mergeCell ref="CH17:CH18"/>
    <mergeCell ref="BP19:BP20"/>
    <mergeCell ref="B26:B27"/>
    <mergeCell ref="C26:C27"/>
    <mergeCell ref="CI7:CI8"/>
    <mergeCell ref="CH9:CH10"/>
    <mergeCell ref="CI9:CI10"/>
    <mergeCell ref="AH62:AH63"/>
    <mergeCell ref="AI62:AI63"/>
    <mergeCell ref="AH46:AH47"/>
    <mergeCell ref="AI46:AI47"/>
    <mergeCell ref="AH48:AH49"/>
    <mergeCell ref="AI48:AI49"/>
    <mergeCell ref="AH50:AH51"/>
    <mergeCell ref="AI50:AI51"/>
    <mergeCell ref="AH52:AH53"/>
    <mergeCell ref="AI52:AI53"/>
    <mergeCell ref="AH54:AH55"/>
    <mergeCell ref="AI54:AI55"/>
    <mergeCell ref="BO43:BO44"/>
    <mergeCell ref="BP43:BP44"/>
    <mergeCell ref="BO33:BO34"/>
    <mergeCell ref="BP33:BP34"/>
    <mergeCell ref="BO35:BO36"/>
    <mergeCell ref="BP35:BP36"/>
    <mergeCell ref="BO15:BO16"/>
    <mergeCell ref="BP15:BP16"/>
    <mergeCell ref="BO7:BO8"/>
    <mergeCell ref="CM3:CR5"/>
    <mergeCell ref="BQ3:BV5"/>
    <mergeCell ref="AH56:AH57"/>
    <mergeCell ref="AI56:AI57"/>
    <mergeCell ref="AH58:AH59"/>
    <mergeCell ref="AI58:AI59"/>
    <mergeCell ref="AH60:AH61"/>
    <mergeCell ref="AI60:AI61"/>
    <mergeCell ref="CH21:CH22"/>
    <mergeCell ref="CI21:CI22"/>
    <mergeCell ref="CH23:CH24"/>
    <mergeCell ref="CI23:CI24"/>
    <mergeCell ref="CH25:CH26"/>
    <mergeCell ref="CI25:CI26"/>
    <mergeCell ref="CH27:CH28"/>
    <mergeCell ref="CI27:CI28"/>
    <mergeCell ref="CH11:CH12"/>
    <mergeCell ref="CI11:CI12"/>
    <mergeCell ref="CH13:CH14"/>
    <mergeCell ref="CI13:CI14"/>
    <mergeCell ref="CH15:CH16"/>
    <mergeCell ref="CI15:CI16"/>
    <mergeCell ref="CH19:CH20"/>
    <mergeCell ref="CI19:CI20"/>
    <mergeCell ref="EW17:EW18"/>
    <mergeCell ref="EX17:EX18"/>
    <mergeCell ref="EW19:EW20"/>
    <mergeCell ref="EX19:EX20"/>
    <mergeCell ref="EW21:EW22"/>
    <mergeCell ref="EX21:EX22"/>
    <mergeCell ref="EW23:EW24"/>
    <mergeCell ref="EX23:EX24"/>
    <mergeCell ref="EW25:EW26"/>
    <mergeCell ref="EX25:EX26"/>
    <mergeCell ref="EW27:EW28"/>
    <mergeCell ref="EX27:EX28"/>
    <mergeCell ref="EW29:EW30"/>
    <mergeCell ref="EX29:EX30"/>
    <mergeCell ref="EW31:EW32"/>
    <mergeCell ref="EX31:EX32"/>
    <mergeCell ref="BO23:BO24"/>
    <mergeCell ref="BP29:BP30"/>
    <mergeCell ref="BO31:BO32"/>
    <mergeCell ref="BP31:BP32"/>
    <mergeCell ref="EC32:EC33"/>
    <mergeCell ref="ED32:ED33"/>
    <mergeCell ref="EC30:EC31"/>
    <mergeCell ref="ED30:ED31"/>
    <mergeCell ref="CI17:CI18"/>
    <mergeCell ref="ED20:ED21"/>
    <mergeCell ref="EC22:EC23"/>
    <mergeCell ref="ED22:ED23"/>
    <mergeCell ref="EC24:EC25"/>
    <mergeCell ref="ED24:ED25"/>
    <mergeCell ref="EC26:EC27"/>
    <mergeCell ref="ED26:ED27"/>
    <mergeCell ref="DF16:DF17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A45FB-CEE1-4EA7-8966-006896C9DB69}">
  <dimension ref="B3:DM35"/>
  <sheetViews>
    <sheetView rightToLeft="1" topLeftCell="CU1" workbookViewId="0">
      <selection activeCell="CE6" sqref="CE6:CH19"/>
    </sheetView>
  </sheetViews>
  <sheetFormatPr defaultColWidth="11.42578125" defaultRowHeight="15" x14ac:dyDescent="0.25"/>
  <cols>
    <col min="2" max="2" width="15.7109375" bestFit="1" customWidth="1"/>
    <col min="3" max="3" width="25.5703125" bestFit="1" customWidth="1"/>
    <col min="4" max="4" width="19.42578125" customWidth="1"/>
    <col min="5" max="5" width="17.85546875" customWidth="1"/>
    <col min="6" max="6" width="17" customWidth="1"/>
    <col min="7" max="7" width="15.28515625" customWidth="1"/>
    <col min="16" max="16" width="15.5703125" customWidth="1"/>
    <col min="20" max="20" width="10.5703125" customWidth="1"/>
    <col min="21" max="21" width="17.42578125" customWidth="1"/>
    <col min="22" max="22" width="28.5703125" bestFit="1" customWidth="1"/>
    <col min="23" max="24" width="20.5703125" bestFit="1" customWidth="1"/>
    <col min="25" max="25" width="14.28515625" style="55" customWidth="1"/>
    <col min="41" max="41" width="7.28515625" customWidth="1"/>
    <col min="42" max="42" width="16" customWidth="1"/>
    <col min="43" max="43" width="34.85546875" bestFit="1" customWidth="1"/>
    <col min="44" max="45" width="20.5703125" bestFit="1" customWidth="1"/>
    <col min="61" max="61" width="6.85546875" customWidth="1"/>
    <col min="62" max="62" width="18.85546875" customWidth="1"/>
    <col min="63" max="63" width="20" customWidth="1"/>
    <col min="64" max="65" width="20.5703125" bestFit="1" customWidth="1"/>
    <col min="83" max="83" width="18.28515625" customWidth="1"/>
    <col min="84" max="84" width="29.7109375" bestFit="1" customWidth="1"/>
    <col min="85" max="85" width="22" customWidth="1"/>
    <col min="86" max="87" width="22.140625" customWidth="1"/>
    <col min="103" max="103" width="19.42578125" customWidth="1"/>
    <col min="104" max="104" width="18.85546875" customWidth="1"/>
    <col min="105" max="105" width="22.28515625" customWidth="1"/>
    <col min="106" max="106" width="20.140625" customWidth="1"/>
    <col min="107" max="107" width="15.42578125" customWidth="1"/>
  </cols>
  <sheetData>
    <row r="3" spans="2:117" ht="18.75" customHeight="1" x14ac:dyDescent="0.3">
      <c r="BJ3" s="53"/>
      <c r="BK3" s="53"/>
      <c r="BL3" s="53"/>
      <c r="BM3" s="53"/>
      <c r="BN3" s="54"/>
      <c r="BO3" s="202" t="s">
        <v>696</v>
      </c>
      <c r="BP3" s="203"/>
      <c r="BQ3" s="203"/>
      <c r="BR3" s="203"/>
      <c r="BS3" s="203"/>
      <c r="BT3" s="204"/>
      <c r="BU3" s="53"/>
      <c r="BV3" s="53"/>
      <c r="BW3" s="53"/>
      <c r="BX3" s="53"/>
      <c r="CE3" s="53"/>
      <c r="CF3" s="53"/>
      <c r="CG3" s="53"/>
      <c r="CH3" s="53"/>
      <c r="CI3" s="54"/>
      <c r="CJ3" s="202" t="s">
        <v>697</v>
      </c>
      <c r="CK3" s="203"/>
      <c r="CL3" s="203"/>
      <c r="CM3" s="203"/>
      <c r="CN3" s="203"/>
      <c r="CO3" s="204"/>
      <c r="CP3" s="53"/>
      <c r="CQ3" s="53"/>
      <c r="CR3" s="53"/>
      <c r="CS3" s="53"/>
    </row>
    <row r="4" spans="2:117" ht="18.75" customHeight="1" x14ac:dyDescent="0.3">
      <c r="BJ4" s="53"/>
      <c r="BK4" s="53"/>
      <c r="BL4" s="53"/>
      <c r="BM4" s="53"/>
      <c r="BN4" s="54"/>
      <c r="BO4" s="205"/>
      <c r="BP4" s="206"/>
      <c r="BQ4" s="206"/>
      <c r="BR4" s="206"/>
      <c r="BS4" s="206"/>
      <c r="BT4" s="207"/>
      <c r="BU4" s="53"/>
      <c r="BV4" s="53"/>
      <c r="BW4" s="53"/>
      <c r="BX4" s="53"/>
      <c r="CE4" s="53"/>
      <c r="CF4" s="53"/>
      <c r="CG4" s="53"/>
      <c r="CH4" s="53"/>
      <c r="CI4" s="54"/>
      <c r="CJ4" s="205"/>
      <c r="CK4" s="206"/>
      <c r="CL4" s="206"/>
      <c r="CM4" s="206"/>
      <c r="CN4" s="206"/>
      <c r="CO4" s="207"/>
      <c r="CP4" s="53"/>
      <c r="CQ4" s="53"/>
      <c r="CR4" s="53"/>
      <c r="CS4" s="53"/>
      <c r="CY4" s="53"/>
      <c r="CZ4" s="53"/>
      <c r="DA4" s="53"/>
      <c r="DB4" s="53"/>
      <c r="DC4" s="53"/>
      <c r="DD4" s="202" t="s">
        <v>918</v>
      </c>
      <c r="DE4" s="203"/>
      <c r="DF4" s="203"/>
      <c r="DG4" s="203"/>
      <c r="DH4" s="203"/>
      <c r="DI4" s="204"/>
      <c r="DJ4" s="53"/>
      <c r="DK4" s="53"/>
      <c r="DL4" s="53"/>
      <c r="DM4" s="53"/>
    </row>
    <row r="5" spans="2:117" ht="18.75" customHeight="1" x14ac:dyDescent="0.35">
      <c r="B5" s="53"/>
      <c r="C5" s="53"/>
      <c r="D5" s="53"/>
      <c r="E5" s="53"/>
      <c r="F5" s="53"/>
      <c r="G5" s="202" t="s">
        <v>500</v>
      </c>
      <c r="H5" s="203"/>
      <c r="I5" s="203"/>
      <c r="J5" s="203"/>
      <c r="K5" s="203"/>
      <c r="L5" s="204"/>
      <c r="M5" s="53"/>
      <c r="N5" s="53"/>
      <c r="O5" s="53"/>
      <c r="P5" s="53"/>
      <c r="U5" s="53"/>
      <c r="V5" s="53"/>
      <c r="W5" s="53"/>
      <c r="X5" s="53"/>
      <c r="Y5" s="54"/>
      <c r="Z5" s="202" t="s">
        <v>503</v>
      </c>
      <c r="AA5" s="203"/>
      <c r="AB5" s="203"/>
      <c r="AC5" s="203"/>
      <c r="AD5" s="203"/>
      <c r="AE5" s="204"/>
      <c r="AF5" s="53"/>
      <c r="AG5" s="53"/>
      <c r="AH5" s="53"/>
      <c r="AI5" s="53"/>
      <c r="AP5" s="53"/>
      <c r="AQ5" s="53"/>
      <c r="AR5" s="53"/>
      <c r="AS5" s="53"/>
      <c r="AT5" s="54"/>
      <c r="AU5" s="202" t="s">
        <v>504</v>
      </c>
      <c r="AV5" s="203"/>
      <c r="AW5" s="203"/>
      <c r="AX5" s="203"/>
      <c r="AY5" s="203"/>
      <c r="AZ5" s="204"/>
      <c r="BA5" s="53"/>
      <c r="BB5" s="53"/>
      <c r="BC5" s="53"/>
      <c r="BD5" s="53"/>
      <c r="BJ5" s="56" t="s">
        <v>218</v>
      </c>
      <c r="BK5" s="7" t="s">
        <v>1</v>
      </c>
      <c r="BL5" s="7" t="s">
        <v>2</v>
      </c>
      <c r="BM5" s="7" t="s">
        <v>3</v>
      </c>
      <c r="BN5" s="20" t="s">
        <v>4</v>
      </c>
      <c r="BO5" s="1" t="s">
        <v>5</v>
      </c>
      <c r="BP5" s="1" t="s">
        <v>6</v>
      </c>
      <c r="BQ5" s="1" t="s">
        <v>7</v>
      </c>
      <c r="BR5" s="1" t="s">
        <v>8</v>
      </c>
      <c r="BS5" s="1" t="s">
        <v>9</v>
      </c>
      <c r="BT5" s="1" t="s">
        <v>10</v>
      </c>
      <c r="BU5" s="1" t="s">
        <v>11</v>
      </c>
      <c r="BV5" s="1" t="s">
        <v>12</v>
      </c>
      <c r="BW5" s="1" t="s">
        <v>13</v>
      </c>
      <c r="BX5" s="1" t="s">
        <v>14</v>
      </c>
      <c r="CE5" s="56" t="s">
        <v>218</v>
      </c>
      <c r="CF5" s="7" t="s">
        <v>1</v>
      </c>
      <c r="CG5" s="7" t="s">
        <v>2</v>
      </c>
      <c r="CH5" s="7" t="s">
        <v>3</v>
      </c>
      <c r="CI5" s="20" t="s">
        <v>4</v>
      </c>
      <c r="CJ5" s="1" t="s">
        <v>5</v>
      </c>
      <c r="CK5" s="1" t="s">
        <v>6</v>
      </c>
      <c r="CL5" s="1" t="s">
        <v>7</v>
      </c>
      <c r="CM5" s="1" t="s">
        <v>8</v>
      </c>
      <c r="CN5" s="1" t="s">
        <v>9</v>
      </c>
      <c r="CO5" s="1" t="s">
        <v>10</v>
      </c>
      <c r="CP5" s="1" t="s">
        <v>11</v>
      </c>
      <c r="CQ5" s="1" t="s">
        <v>12</v>
      </c>
      <c r="CR5" s="1" t="s">
        <v>13</v>
      </c>
      <c r="CS5" s="1" t="s">
        <v>14</v>
      </c>
      <c r="CY5" s="53"/>
      <c r="CZ5" s="53"/>
      <c r="DA5" s="53"/>
      <c r="DB5" s="53"/>
      <c r="DC5" s="53"/>
      <c r="DD5" s="205"/>
      <c r="DE5" s="206"/>
      <c r="DF5" s="206"/>
      <c r="DG5" s="206"/>
      <c r="DH5" s="206"/>
      <c r="DI5" s="207"/>
      <c r="DJ5" s="53"/>
      <c r="DK5" s="53"/>
      <c r="DL5" s="53"/>
      <c r="DM5" s="53"/>
    </row>
    <row r="6" spans="2:117" ht="18.75" customHeight="1" x14ac:dyDescent="0.35">
      <c r="B6" s="53"/>
      <c r="C6" s="53"/>
      <c r="D6" s="53"/>
      <c r="E6" s="53"/>
      <c r="F6" s="53"/>
      <c r="G6" s="205"/>
      <c r="H6" s="206"/>
      <c r="I6" s="206"/>
      <c r="J6" s="206"/>
      <c r="K6" s="206"/>
      <c r="L6" s="207"/>
      <c r="M6" s="53"/>
      <c r="N6" s="53"/>
      <c r="O6" s="53"/>
      <c r="P6" s="53"/>
      <c r="U6" s="53"/>
      <c r="V6" s="53"/>
      <c r="W6" s="53"/>
      <c r="X6" s="53"/>
      <c r="Y6" s="54"/>
      <c r="Z6" s="205"/>
      <c r="AA6" s="206"/>
      <c r="AB6" s="206"/>
      <c r="AC6" s="206"/>
      <c r="AD6" s="206"/>
      <c r="AE6" s="207"/>
      <c r="AF6" s="53"/>
      <c r="AG6" s="53"/>
      <c r="AH6" s="53"/>
      <c r="AI6" s="53"/>
      <c r="AP6" s="53"/>
      <c r="AQ6" s="53"/>
      <c r="AR6" s="53"/>
      <c r="AS6" s="53"/>
      <c r="AT6" s="54"/>
      <c r="AU6" s="205"/>
      <c r="AV6" s="206"/>
      <c r="AW6" s="206"/>
      <c r="AX6" s="206"/>
      <c r="AY6" s="206"/>
      <c r="AZ6" s="207"/>
      <c r="BA6" s="53"/>
      <c r="BB6" s="53"/>
      <c r="BC6" s="53"/>
      <c r="BD6" s="53"/>
      <c r="BJ6" s="214" t="s">
        <v>823</v>
      </c>
      <c r="BK6" s="200"/>
      <c r="BL6" s="51">
        <v>250</v>
      </c>
      <c r="BM6" s="51">
        <v>1500</v>
      </c>
      <c r="BN6" s="51"/>
      <c r="BO6" s="51"/>
      <c r="BP6" s="51"/>
      <c r="BQ6" s="51"/>
      <c r="BR6" s="51"/>
      <c r="BS6" s="51"/>
      <c r="BT6" s="51"/>
      <c r="BU6" s="51"/>
      <c r="BV6" s="51"/>
      <c r="BW6" s="51"/>
      <c r="BX6" s="51"/>
      <c r="CE6" s="214" t="s">
        <v>819</v>
      </c>
      <c r="CF6" s="212"/>
      <c r="CG6" s="51">
        <v>250</v>
      </c>
      <c r="CH6" s="51">
        <v>1500</v>
      </c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Y6" s="56" t="s">
        <v>218</v>
      </c>
      <c r="CZ6" s="7" t="s">
        <v>1</v>
      </c>
      <c r="DA6" s="7" t="s">
        <v>2</v>
      </c>
      <c r="DB6" s="7" t="s">
        <v>3</v>
      </c>
      <c r="DC6" s="1" t="s">
        <v>4</v>
      </c>
      <c r="DD6" s="1" t="s">
        <v>5</v>
      </c>
      <c r="DE6" s="1" t="s">
        <v>6</v>
      </c>
      <c r="DF6" s="1" t="s">
        <v>7</v>
      </c>
      <c r="DG6" s="1" t="s">
        <v>8</v>
      </c>
      <c r="DH6" s="1" t="s">
        <v>9</v>
      </c>
      <c r="DI6" s="1" t="s">
        <v>10</v>
      </c>
      <c r="DJ6" s="1" t="s">
        <v>11</v>
      </c>
      <c r="DK6" s="1" t="s">
        <v>12</v>
      </c>
      <c r="DL6" s="1" t="s">
        <v>13</v>
      </c>
      <c r="DM6" s="1" t="s">
        <v>14</v>
      </c>
    </row>
    <row r="7" spans="2:117" ht="21" x14ac:dyDescent="0.35">
      <c r="B7" s="56" t="s">
        <v>218</v>
      </c>
      <c r="C7" s="7" t="s">
        <v>1</v>
      </c>
      <c r="D7" s="7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U7" s="56" t="s">
        <v>218</v>
      </c>
      <c r="V7" s="7" t="s">
        <v>1</v>
      </c>
      <c r="W7" s="7" t="s">
        <v>2</v>
      </c>
      <c r="X7" s="7" t="s">
        <v>3</v>
      </c>
      <c r="Y7" s="20" t="s">
        <v>4</v>
      </c>
      <c r="Z7" s="1" t="s">
        <v>5</v>
      </c>
      <c r="AA7" s="1" t="s">
        <v>6</v>
      </c>
      <c r="AB7" s="1" t="s">
        <v>7</v>
      </c>
      <c r="AC7" s="1" t="s">
        <v>8</v>
      </c>
      <c r="AD7" s="1" t="s">
        <v>9</v>
      </c>
      <c r="AE7" s="1" t="s">
        <v>10</v>
      </c>
      <c r="AF7" s="1" t="s">
        <v>11</v>
      </c>
      <c r="AG7" s="1" t="s">
        <v>12</v>
      </c>
      <c r="AH7" s="1" t="s">
        <v>13</v>
      </c>
      <c r="AI7" s="1" t="s">
        <v>14</v>
      </c>
      <c r="AP7" s="56" t="s">
        <v>218</v>
      </c>
      <c r="AQ7" s="7" t="s">
        <v>1</v>
      </c>
      <c r="AR7" s="7" t="s">
        <v>2</v>
      </c>
      <c r="AS7" s="7" t="s">
        <v>3</v>
      </c>
      <c r="AT7" s="20" t="s">
        <v>4</v>
      </c>
      <c r="AU7" s="1" t="s">
        <v>5</v>
      </c>
      <c r="AV7" s="1" t="s">
        <v>6</v>
      </c>
      <c r="AW7" s="1" t="s">
        <v>7</v>
      </c>
      <c r="AX7" s="1" t="s">
        <v>8</v>
      </c>
      <c r="AY7" s="1" t="s">
        <v>9</v>
      </c>
      <c r="AZ7" s="1" t="s">
        <v>10</v>
      </c>
      <c r="BA7" s="1" t="s">
        <v>11</v>
      </c>
      <c r="BB7" s="1" t="s">
        <v>12</v>
      </c>
      <c r="BC7" s="1" t="s">
        <v>13</v>
      </c>
      <c r="BD7" s="1" t="s">
        <v>14</v>
      </c>
      <c r="BJ7" s="215"/>
      <c r="BK7" s="201"/>
      <c r="BL7" s="51" t="s">
        <v>828</v>
      </c>
      <c r="BM7" s="51" t="s">
        <v>828</v>
      </c>
      <c r="BN7" s="51"/>
      <c r="BO7" s="51"/>
      <c r="BP7" s="51"/>
      <c r="BQ7" s="51"/>
      <c r="BR7" s="51"/>
      <c r="BS7" s="51"/>
      <c r="BT7" s="51"/>
      <c r="BU7" s="51"/>
      <c r="BV7" s="51"/>
      <c r="BW7" s="51"/>
      <c r="BX7" s="51"/>
      <c r="CE7" s="215"/>
      <c r="CF7" s="213"/>
      <c r="CG7" s="51" t="s">
        <v>820</v>
      </c>
      <c r="CH7" s="51" t="s">
        <v>820</v>
      </c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Y7" s="182"/>
      <c r="CZ7" s="182"/>
      <c r="DA7" s="3"/>
      <c r="DB7" s="3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</row>
    <row r="8" spans="2:117" ht="18.75" x14ac:dyDescent="0.25">
      <c r="B8" s="198" t="s">
        <v>501</v>
      </c>
      <c r="C8" s="200"/>
      <c r="D8" s="51">
        <v>250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U8" s="198" t="s">
        <v>501</v>
      </c>
      <c r="V8" s="98" t="s">
        <v>1031</v>
      </c>
      <c r="W8" s="51">
        <v>250</v>
      </c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P8" s="198" t="s">
        <v>505</v>
      </c>
      <c r="AQ8" s="212" t="s">
        <v>1048</v>
      </c>
      <c r="AR8" s="51">
        <v>250</v>
      </c>
      <c r="AS8" s="46">
        <v>1500</v>
      </c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J8" s="214"/>
      <c r="BK8" s="200"/>
      <c r="BL8" s="51"/>
      <c r="BM8" s="51"/>
      <c r="BN8" s="51"/>
      <c r="BO8" s="51"/>
      <c r="BP8" s="51"/>
      <c r="BQ8" s="51"/>
      <c r="BR8" s="51"/>
      <c r="BS8" s="51"/>
      <c r="BT8" s="51"/>
      <c r="BU8" s="51"/>
      <c r="BV8" s="51"/>
      <c r="BW8" s="51"/>
      <c r="BX8" s="51"/>
      <c r="CE8" s="214" t="s">
        <v>821</v>
      </c>
      <c r="CF8" s="200" t="s">
        <v>822</v>
      </c>
      <c r="CG8" s="51">
        <v>250</v>
      </c>
      <c r="CH8" s="51">
        <v>1500</v>
      </c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Y8" s="183"/>
      <c r="CZ8" s="183"/>
      <c r="DA8" s="3"/>
      <c r="DB8" s="3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</row>
    <row r="9" spans="2:117" ht="18.75" customHeight="1" x14ac:dyDescent="0.25">
      <c r="B9" s="199"/>
      <c r="C9" s="201"/>
      <c r="D9" s="51" t="s">
        <v>502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U9" s="199"/>
      <c r="V9" s="99"/>
      <c r="W9" s="51" t="s">
        <v>502</v>
      </c>
      <c r="X9" s="51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P9" s="199"/>
      <c r="AQ9" s="213"/>
      <c r="AR9" s="51" t="s">
        <v>502</v>
      </c>
      <c r="AS9" s="51" t="s">
        <v>502</v>
      </c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J9" s="215"/>
      <c r="BK9" s="20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CE9" s="215"/>
      <c r="CF9" s="201"/>
      <c r="CG9" s="51" t="s">
        <v>829</v>
      </c>
      <c r="CH9" s="51" t="s">
        <v>829</v>
      </c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Y9" s="198"/>
      <c r="CZ9" s="200"/>
      <c r="DA9" s="51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</row>
    <row r="10" spans="2:117" ht="21" customHeight="1" x14ac:dyDescent="0.25">
      <c r="B10" s="198" t="s">
        <v>506</v>
      </c>
      <c r="C10" s="200" t="s">
        <v>508</v>
      </c>
      <c r="D10" s="51">
        <v>250</v>
      </c>
      <c r="E10" s="46">
        <v>1500</v>
      </c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U10" s="208" t="s">
        <v>823</v>
      </c>
      <c r="V10" s="210" t="s">
        <v>1032</v>
      </c>
      <c r="W10" s="96" t="s">
        <v>517</v>
      </c>
      <c r="X10" s="83">
        <v>1500</v>
      </c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P10" s="198" t="s">
        <v>506</v>
      </c>
      <c r="AQ10" s="212" t="s">
        <v>630</v>
      </c>
      <c r="AR10" s="51">
        <v>250</v>
      </c>
      <c r="AS10" s="46">
        <v>1500</v>
      </c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J10" s="214"/>
      <c r="BK10" s="200"/>
      <c r="BL10" s="51"/>
      <c r="BM10" s="51"/>
      <c r="BN10" s="51"/>
      <c r="BO10" s="51"/>
      <c r="BP10" s="51"/>
      <c r="BQ10" s="51"/>
      <c r="BR10" s="51"/>
      <c r="BS10" s="51"/>
      <c r="BT10" s="51"/>
      <c r="BU10" s="51"/>
      <c r="BV10" s="51"/>
      <c r="BW10" s="51"/>
      <c r="BX10" s="51"/>
      <c r="CE10" s="214" t="s">
        <v>823</v>
      </c>
      <c r="CF10" s="200"/>
      <c r="CG10" s="51">
        <v>250</v>
      </c>
      <c r="CH10" s="51">
        <v>1500</v>
      </c>
      <c r="CI10" s="51"/>
      <c r="CJ10" s="51"/>
      <c r="CK10" s="51"/>
      <c r="CL10" s="51"/>
      <c r="CM10" s="51"/>
      <c r="CN10" s="51"/>
      <c r="CO10" s="51"/>
      <c r="CP10" s="51"/>
      <c r="CQ10" s="51"/>
      <c r="CR10" s="51"/>
      <c r="CS10" s="51"/>
      <c r="CY10" s="199"/>
      <c r="CZ10" s="201"/>
      <c r="DA10" s="51"/>
      <c r="DB10" s="51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</row>
    <row r="11" spans="2:117" ht="18.75" x14ac:dyDescent="0.25">
      <c r="B11" s="199"/>
      <c r="C11" s="201"/>
      <c r="D11" s="51" t="s">
        <v>507</v>
      </c>
      <c r="E11" s="51" t="s">
        <v>507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U11" s="209"/>
      <c r="V11" s="211"/>
      <c r="W11" s="91"/>
      <c r="X11" s="51" t="s">
        <v>828</v>
      </c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P11" s="199"/>
      <c r="AQ11" s="213"/>
      <c r="AR11" s="51" t="s">
        <v>507</v>
      </c>
      <c r="AS11" s="51" t="s">
        <v>507</v>
      </c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J11" s="215"/>
      <c r="BK11" s="201"/>
      <c r="BL11" s="51"/>
      <c r="BM11" s="51"/>
      <c r="BN11" s="51"/>
      <c r="BO11" s="51"/>
      <c r="BP11" s="51"/>
      <c r="BQ11" s="51"/>
      <c r="BR11" s="51"/>
      <c r="BS11" s="51"/>
      <c r="BT11" s="51"/>
      <c r="BU11" s="51"/>
      <c r="BV11" s="51"/>
      <c r="BW11" s="51"/>
      <c r="BX11" s="51"/>
      <c r="CE11" s="215"/>
      <c r="CF11" s="201"/>
      <c r="CG11" s="51" t="s">
        <v>828</v>
      </c>
      <c r="CH11" s="51" t="s">
        <v>828</v>
      </c>
      <c r="CI11" s="51"/>
      <c r="CJ11" s="51"/>
      <c r="CK11" s="51"/>
      <c r="CL11" s="51"/>
      <c r="CM11" s="51"/>
      <c r="CN11" s="51"/>
      <c r="CO11" s="51"/>
      <c r="CP11" s="51"/>
      <c r="CQ11" s="51"/>
      <c r="CR11" s="51"/>
      <c r="CS11" s="51"/>
      <c r="CY11" s="198"/>
      <c r="CZ11" s="200"/>
      <c r="DA11" s="51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</row>
    <row r="12" spans="2:117" ht="18.75" x14ac:dyDescent="0.25">
      <c r="B12" s="198"/>
      <c r="C12" s="200"/>
      <c r="D12" s="51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U12" s="198"/>
      <c r="V12" s="212"/>
      <c r="W12" s="51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P12" s="198" t="s">
        <v>819</v>
      </c>
      <c r="AQ12" s="212"/>
      <c r="AR12" s="51">
        <v>250</v>
      </c>
      <c r="AS12" s="46">
        <v>1500</v>
      </c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J12" s="214"/>
      <c r="BK12" s="200"/>
      <c r="BL12" s="51"/>
      <c r="BM12" s="51"/>
      <c r="BN12" s="51"/>
      <c r="BO12" s="51"/>
      <c r="BP12" s="51"/>
      <c r="BQ12" s="51"/>
      <c r="BR12" s="51"/>
      <c r="BS12" s="51"/>
      <c r="BT12" s="51"/>
      <c r="BU12" s="51"/>
      <c r="BV12" s="51"/>
      <c r="BW12" s="51"/>
      <c r="BX12" s="51"/>
      <c r="CE12" s="214" t="s">
        <v>824</v>
      </c>
      <c r="CF12" s="200"/>
      <c r="CG12" s="51">
        <v>250</v>
      </c>
      <c r="CH12" s="51"/>
      <c r="CI12" s="51"/>
      <c r="CJ12" s="51"/>
      <c r="CK12" s="51"/>
      <c r="CL12" s="51"/>
      <c r="CM12" s="51"/>
      <c r="CN12" s="51"/>
      <c r="CO12" s="51"/>
      <c r="CP12" s="51"/>
      <c r="CQ12" s="51"/>
      <c r="CR12" s="51"/>
      <c r="CS12" s="51"/>
      <c r="CY12" s="199"/>
      <c r="CZ12" s="201"/>
      <c r="DA12" s="51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</row>
    <row r="13" spans="2:117" ht="18.75" x14ac:dyDescent="0.25">
      <c r="B13" s="199"/>
      <c r="C13" s="201"/>
      <c r="D13" s="51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U13" s="199"/>
      <c r="V13" s="213"/>
      <c r="W13" s="51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P13" s="199"/>
      <c r="AQ13" s="213"/>
      <c r="AR13" s="51" t="s">
        <v>820</v>
      </c>
      <c r="AS13" s="51" t="s">
        <v>820</v>
      </c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J13" s="215"/>
      <c r="BK13" s="201"/>
      <c r="BL13" s="51"/>
      <c r="BM13" s="51"/>
      <c r="BN13" s="51"/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CE13" s="215"/>
      <c r="CF13" s="201"/>
      <c r="CG13" s="51" t="s">
        <v>827</v>
      </c>
      <c r="CH13" s="51"/>
      <c r="CI13" s="51"/>
      <c r="CJ13" s="51"/>
      <c r="CK13" s="51"/>
      <c r="CL13" s="51"/>
      <c r="CM13" s="51"/>
      <c r="CN13" s="51"/>
      <c r="CO13" s="51"/>
      <c r="CP13" s="51"/>
      <c r="CQ13" s="51"/>
      <c r="CR13" s="51"/>
      <c r="CS13" s="51"/>
      <c r="CY13" s="198"/>
      <c r="CZ13" s="200"/>
      <c r="DA13" s="51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</row>
    <row r="14" spans="2:117" ht="18.75" x14ac:dyDescent="0.25">
      <c r="B14" s="198"/>
      <c r="C14" s="200"/>
      <c r="D14" s="51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U14" s="198"/>
      <c r="V14" s="212"/>
      <c r="W14" s="51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P14" s="214" t="s">
        <v>823</v>
      </c>
      <c r="AQ14" s="200"/>
      <c r="AR14" s="51">
        <v>250</v>
      </c>
      <c r="AS14" s="51">
        <v>1500</v>
      </c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J14" s="214"/>
      <c r="BK14" s="200"/>
      <c r="BL14" s="51"/>
      <c r="BM14" s="51"/>
      <c r="BN14" s="51"/>
      <c r="BO14" s="51"/>
      <c r="BP14" s="51"/>
      <c r="BQ14" s="51"/>
      <c r="BR14" s="51"/>
      <c r="BS14" s="51"/>
      <c r="BT14" s="51"/>
      <c r="BU14" s="51"/>
      <c r="BV14" s="51"/>
      <c r="BW14" s="51"/>
      <c r="BX14" s="51"/>
      <c r="CE14" s="214" t="s">
        <v>875</v>
      </c>
      <c r="CF14" s="200" t="s">
        <v>876</v>
      </c>
      <c r="CG14" s="51">
        <v>250</v>
      </c>
      <c r="CH14" s="51">
        <v>1500</v>
      </c>
      <c r="CI14" s="51"/>
      <c r="CJ14" s="51"/>
      <c r="CK14" s="51"/>
      <c r="CL14" s="51"/>
      <c r="CM14" s="51"/>
      <c r="CN14" s="51"/>
      <c r="CO14" s="51"/>
      <c r="CP14" s="51"/>
      <c r="CQ14" s="51"/>
      <c r="CR14" s="51"/>
      <c r="CS14" s="51"/>
      <c r="CY14" s="199"/>
      <c r="CZ14" s="201"/>
      <c r="DA14" s="51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</row>
    <row r="15" spans="2:117" ht="18.75" x14ac:dyDescent="0.25">
      <c r="B15" s="199"/>
      <c r="C15" s="201"/>
      <c r="D15" s="51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U15" s="199"/>
      <c r="V15" s="213"/>
      <c r="W15" s="51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P15" s="215"/>
      <c r="AQ15" s="201"/>
      <c r="AR15" s="51" t="s">
        <v>828</v>
      </c>
      <c r="AS15" s="51" t="s">
        <v>828</v>
      </c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J15" s="215"/>
      <c r="BK15" s="201"/>
      <c r="BL15" s="51"/>
      <c r="BM15" s="51"/>
      <c r="BN15" s="51"/>
      <c r="BO15" s="51"/>
      <c r="BP15" s="51"/>
      <c r="BQ15" s="51"/>
      <c r="BR15" s="51"/>
      <c r="BS15" s="51"/>
      <c r="BT15" s="51"/>
      <c r="BU15" s="51"/>
      <c r="BV15" s="51"/>
      <c r="BW15" s="51"/>
      <c r="BX15" s="51"/>
      <c r="CE15" s="215"/>
      <c r="CF15" s="201"/>
      <c r="CG15" s="51" t="s">
        <v>877</v>
      </c>
      <c r="CH15" s="51" t="s">
        <v>877</v>
      </c>
      <c r="CI15" s="51"/>
      <c r="CJ15" s="51"/>
      <c r="CK15" s="51"/>
      <c r="CL15" s="51"/>
      <c r="CM15" s="51"/>
      <c r="CN15" s="51"/>
      <c r="CO15" s="51"/>
      <c r="CP15" s="51"/>
      <c r="CQ15" s="51"/>
      <c r="CR15" s="51"/>
      <c r="CS15" s="51"/>
      <c r="CY15" s="198"/>
      <c r="CZ15" s="200"/>
      <c r="DA15" s="51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</row>
    <row r="16" spans="2:117" ht="18.75" x14ac:dyDescent="0.25">
      <c r="B16" s="198"/>
      <c r="C16" s="200"/>
      <c r="D16" s="51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U16" s="198"/>
      <c r="V16" s="212"/>
      <c r="W16" s="51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P16" s="198" t="s">
        <v>938</v>
      </c>
      <c r="AQ16" s="212" t="s">
        <v>939</v>
      </c>
      <c r="AR16" s="51">
        <v>250</v>
      </c>
      <c r="AS16" s="46">
        <v>1500</v>
      </c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J16" s="214"/>
      <c r="BK16" s="200"/>
      <c r="BL16" s="30"/>
      <c r="BM16" s="51"/>
      <c r="BN16" s="51"/>
      <c r="BO16" s="51"/>
      <c r="BP16" s="51"/>
      <c r="BQ16" s="51"/>
      <c r="BR16" s="51"/>
      <c r="BS16" s="51"/>
      <c r="BT16" s="51"/>
      <c r="BU16" s="51"/>
      <c r="BV16" s="51"/>
      <c r="BW16" s="51"/>
      <c r="BX16" s="51"/>
      <c r="CE16" s="214" t="s">
        <v>966</v>
      </c>
      <c r="CF16" s="200" t="s">
        <v>968</v>
      </c>
      <c r="CG16" s="51">
        <v>250</v>
      </c>
      <c r="CH16" s="51">
        <v>1500</v>
      </c>
      <c r="CI16" s="51"/>
      <c r="CJ16" s="51"/>
      <c r="CK16" s="51"/>
      <c r="CL16" s="51"/>
      <c r="CM16" s="51"/>
      <c r="CN16" s="51"/>
      <c r="CO16" s="51"/>
      <c r="CP16" s="51"/>
      <c r="CQ16" s="51"/>
      <c r="CR16" s="51"/>
      <c r="CS16" s="51"/>
      <c r="CY16" s="199"/>
      <c r="CZ16" s="201"/>
      <c r="DA16" s="51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</row>
    <row r="17" spans="2:117" ht="18.75" x14ac:dyDescent="0.25">
      <c r="B17" s="199"/>
      <c r="C17" s="201"/>
      <c r="D17" s="51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U17" s="199"/>
      <c r="V17" s="213"/>
      <c r="W17" s="51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P17" s="199"/>
      <c r="AQ17" s="213"/>
      <c r="AR17" s="88" t="s">
        <v>940</v>
      </c>
      <c r="AS17" s="88" t="s">
        <v>940</v>
      </c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J17" s="215"/>
      <c r="BK17" s="201"/>
      <c r="BL17" s="30"/>
      <c r="BM17" s="51"/>
      <c r="BN17" s="51"/>
      <c r="BO17" s="51"/>
      <c r="BP17" s="51"/>
      <c r="BQ17" s="51"/>
      <c r="BR17" s="51"/>
      <c r="BS17" s="51"/>
      <c r="BT17" s="51"/>
      <c r="BU17" s="51"/>
      <c r="BV17" s="51"/>
      <c r="BW17" s="51"/>
      <c r="BX17" s="51"/>
      <c r="CE17" s="215"/>
      <c r="CF17" s="201"/>
      <c r="CG17" s="51" t="s">
        <v>969</v>
      </c>
      <c r="CH17" s="51" t="s">
        <v>969</v>
      </c>
      <c r="CI17" s="51"/>
      <c r="CJ17" s="51"/>
      <c r="CK17" s="51"/>
      <c r="CL17" s="51"/>
      <c r="CM17" s="51"/>
      <c r="CN17" s="51"/>
      <c r="CO17" s="51"/>
      <c r="CP17" s="51"/>
      <c r="CQ17" s="51"/>
      <c r="CR17" s="51"/>
      <c r="CS17" s="51"/>
      <c r="CY17" s="198"/>
      <c r="CZ17" s="200"/>
      <c r="DA17" s="30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</row>
    <row r="18" spans="2:117" ht="18.75" x14ac:dyDescent="0.25">
      <c r="B18" s="198"/>
      <c r="C18" s="200"/>
      <c r="D18" s="30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U18" s="198"/>
      <c r="V18" s="212"/>
      <c r="W18" s="30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P18" s="214" t="s">
        <v>966</v>
      </c>
      <c r="AQ18" s="200" t="s">
        <v>968</v>
      </c>
      <c r="AR18" s="51">
        <v>250</v>
      </c>
      <c r="AS18" s="51">
        <v>1500</v>
      </c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J18" s="214"/>
      <c r="BK18" s="200"/>
      <c r="BL18" s="51"/>
      <c r="BM18" s="51"/>
      <c r="BN18" s="51"/>
      <c r="BO18" s="51"/>
      <c r="BP18" s="51"/>
      <c r="BQ18" s="51"/>
      <c r="BR18" s="51"/>
      <c r="BS18" s="51"/>
      <c r="BT18" s="51"/>
      <c r="BU18" s="51"/>
      <c r="BV18" s="51"/>
      <c r="BW18" s="51"/>
      <c r="BX18" s="51"/>
      <c r="CE18" s="214" t="s">
        <v>990</v>
      </c>
      <c r="CF18" s="200" t="s">
        <v>1044</v>
      </c>
      <c r="CG18" s="51">
        <v>250</v>
      </c>
      <c r="CH18" s="51">
        <v>1500</v>
      </c>
      <c r="CI18" s="51"/>
      <c r="CJ18" s="51"/>
      <c r="CK18" s="51"/>
      <c r="CL18" s="51"/>
      <c r="CM18" s="51"/>
      <c r="CN18" s="51"/>
      <c r="CO18" s="51"/>
      <c r="CP18" s="51"/>
      <c r="CQ18" s="51"/>
      <c r="CR18" s="51"/>
      <c r="CS18" s="51"/>
      <c r="CY18" s="199"/>
      <c r="CZ18" s="201"/>
      <c r="DA18" s="30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</row>
    <row r="19" spans="2:117" ht="18.75" x14ac:dyDescent="0.25">
      <c r="B19" s="199"/>
      <c r="C19" s="201"/>
      <c r="D19" s="30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U19" s="199"/>
      <c r="V19" s="213"/>
      <c r="W19" s="30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P19" s="215"/>
      <c r="AQ19" s="201"/>
      <c r="AR19" s="51" t="s">
        <v>969</v>
      </c>
      <c r="AS19" s="51" t="s">
        <v>969</v>
      </c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J19" s="215"/>
      <c r="BK19" s="201"/>
      <c r="BL19" s="51"/>
      <c r="BM19" s="51"/>
      <c r="BN19" s="51"/>
      <c r="BO19" s="51"/>
      <c r="BP19" s="51"/>
      <c r="BQ19" s="51"/>
      <c r="BR19" s="51"/>
      <c r="BS19" s="51"/>
      <c r="BT19" s="51"/>
      <c r="BU19" s="51"/>
      <c r="BV19" s="51"/>
      <c r="BW19" s="51"/>
      <c r="BX19" s="51"/>
      <c r="CE19" s="215"/>
      <c r="CF19" s="201"/>
      <c r="CG19" s="51" t="s">
        <v>969</v>
      </c>
      <c r="CH19" s="51" t="s">
        <v>969</v>
      </c>
      <c r="CI19" s="51"/>
      <c r="CJ19" s="51"/>
      <c r="CK19" s="51"/>
      <c r="CL19" s="51"/>
      <c r="CM19" s="51"/>
      <c r="CN19" s="51"/>
      <c r="CO19" s="51"/>
      <c r="CP19" s="51"/>
      <c r="CQ19" s="51"/>
      <c r="CR19" s="51"/>
      <c r="CS19" s="51"/>
      <c r="CY19" s="198"/>
      <c r="CZ19" s="200"/>
      <c r="DA19" s="51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</row>
    <row r="20" spans="2:117" ht="18.75" x14ac:dyDescent="0.25">
      <c r="B20" s="198"/>
      <c r="C20" s="200"/>
      <c r="D20" s="51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U20" s="198"/>
      <c r="V20" s="212"/>
      <c r="W20" s="51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P20" s="198"/>
      <c r="AQ20" s="212"/>
      <c r="AR20" s="51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J20" s="214"/>
      <c r="BK20" s="200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CE20" s="214"/>
      <c r="CF20" s="200"/>
      <c r="CG20" s="51"/>
      <c r="CH20" s="51"/>
      <c r="CI20" s="51"/>
      <c r="CJ20" s="51"/>
      <c r="CK20" s="51"/>
      <c r="CL20" s="51"/>
      <c r="CM20" s="51"/>
      <c r="CN20" s="51"/>
      <c r="CO20" s="51"/>
      <c r="CP20" s="51"/>
      <c r="CQ20" s="51"/>
      <c r="CR20" s="51"/>
      <c r="CS20" s="51"/>
      <c r="CY20" s="199"/>
      <c r="CZ20" s="201"/>
      <c r="DA20" s="51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</row>
    <row r="21" spans="2:117" ht="18.75" x14ac:dyDescent="0.25">
      <c r="B21" s="199"/>
      <c r="C21" s="201"/>
      <c r="D21" s="51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U21" s="199"/>
      <c r="V21" s="213"/>
      <c r="W21" s="51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P21" s="199"/>
      <c r="AQ21" s="213"/>
      <c r="AR21" s="51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J21" s="215"/>
      <c r="BK21" s="201"/>
      <c r="BL21" s="51"/>
      <c r="BM21" s="51"/>
      <c r="BN21" s="51"/>
      <c r="BO21" s="51"/>
      <c r="BP21" s="51"/>
      <c r="BQ21" s="51"/>
      <c r="BR21" s="51"/>
      <c r="BS21" s="51"/>
      <c r="BT21" s="51"/>
      <c r="BU21" s="51"/>
      <c r="BV21" s="51"/>
      <c r="BW21" s="51"/>
      <c r="BX21" s="51"/>
      <c r="CE21" s="215"/>
      <c r="CF21" s="201"/>
      <c r="CG21" s="51"/>
      <c r="CH21" s="51"/>
      <c r="CI21" s="51"/>
      <c r="CJ21" s="51"/>
      <c r="CK21" s="51"/>
      <c r="CL21" s="51"/>
      <c r="CM21" s="51"/>
      <c r="CN21" s="51"/>
      <c r="CO21" s="51"/>
      <c r="CP21" s="51"/>
      <c r="CQ21" s="51"/>
      <c r="CR21" s="51"/>
      <c r="CS21" s="51"/>
      <c r="CY21" s="198"/>
      <c r="CZ21" s="200"/>
      <c r="DA21" s="51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</row>
    <row r="22" spans="2:117" ht="18.75" x14ac:dyDescent="0.25">
      <c r="B22" s="198"/>
      <c r="C22" s="200"/>
      <c r="D22" s="51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U22" s="198"/>
      <c r="V22" s="212"/>
      <c r="W22" s="51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P22" s="198"/>
      <c r="AQ22" s="212"/>
      <c r="AR22" s="51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J22" s="214"/>
      <c r="BK22" s="200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CE22" s="214"/>
      <c r="CF22" s="200"/>
      <c r="CG22" s="51"/>
      <c r="CH22" s="51"/>
      <c r="CI22" s="51"/>
      <c r="CJ22" s="51"/>
      <c r="CK22" s="51"/>
      <c r="CL22" s="51"/>
      <c r="CM22" s="51"/>
      <c r="CN22" s="51"/>
      <c r="CO22" s="51"/>
      <c r="CP22" s="51"/>
      <c r="CQ22" s="51"/>
      <c r="CR22" s="51"/>
      <c r="CS22" s="51"/>
      <c r="CY22" s="199"/>
      <c r="CZ22" s="201"/>
      <c r="DA22" s="51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</row>
    <row r="23" spans="2:117" ht="18.75" x14ac:dyDescent="0.25">
      <c r="B23" s="199"/>
      <c r="C23" s="201"/>
      <c r="D23" s="51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U23" s="199"/>
      <c r="V23" s="213"/>
      <c r="W23" s="51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P23" s="199"/>
      <c r="AQ23" s="213"/>
      <c r="AR23" s="51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J23" s="215"/>
      <c r="BK23" s="20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1"/>
      <c r="BW23" s="51"/>
      <c r="BX23" s="51"/>
      <c r="CE23" s="215"/>
      <c r="CF23" s="201"/>
      <c r="CG23" s="51"/>
      <c r="CH23" s="51"/>
      <c r="CI23" s="51"/>
      <c r="CJ23" s="51"/>
      <c r="CK23" s="51"/>
      <c r="CL23" s="51"/>
      <c r="CM23" s="51"/>
      <c r="CN23" s="51"/>
      <c r="CO23" s="51"/>
      <c r="CP23" s="51"/>
      <c r="CQ23" s="51"/>
      <c r="CR23" s="51"/>
      <c r="CS23" s="51"/>
      <c r="CY23" s="198"/>
      <c r="CZ23" s="200"/>
      <c r="DA23" s="51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</row>
    <row r="24" spans="2:117" ht="18.75" x14ac:dyDescent="0.25">
      <c r="B24" s="198"/>
      <c r="C24" s="200"/>
      <c r="D24" s="51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U24" s="198"/>
      <c r="V24" s="212"/>
      <c r="W24" s="51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P24" s="198"/>
      <c r="AQ24" s="212"/>
      <c r="AR24" s="51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J24" s="214"/>
      <c r="BK24" s="200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CE24" s="214"/>
      <c r="CF24" s="200"/>
      <c r="CG24" s="51"/>
      <c r="CH24" s="51"/>
      <c r="CI24" s="51"/>
      <c r="CJ24" s="51"/>
      <c r="CK24" s="51"/>
      <c r="CL24" s="51"/>
      <c r="CM24" s="51"/>
      <c r="CN24" s="51"/>
      <c r="CO24" s="51"/>
      <c r="CP24" s="51"/>
      <c r="CQ24" s="51"/>
      <c r="CR24" s="51"/>
      <c r="CS24" s="51"/>
      <c r="CY24" s="199"/>
      <c r="CZ24" s="201"/>
      <c r="DA24" s="51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</row>
    <row r="25" spans="2:117" ht="18.75" x14ac:dyDescent="0.25">
      <c r="B25" s="199"/>
      <c r="C25" s="201"/>
      <c r="D25" s="51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U25" s="199"/>
      <c r="V25" s="213"/>
      <c r="W25" s="51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P25" s="199"/>
      <c r="AQ25" s="213"/>
      <c r="AR25" s="51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J25" s="215"/>
      <c r="BK25" s="201"/>
      <c r="BL25" s="51"/>
      <c r="BM25" s="51"/>
      <c r="BN25" s="51"/>
      <c r="BO25" s="51"/>
      <c r="BP25" s="51"/>
      <c r="BQ25" s="51"/>
      <c r="BR25" s="51"/>
      <c r="BS25" s="51"/>
      <c r="BT25" s="51"/>
      <c r="BU25" s="51"/>
      <c r="BV25" s="51"/>
      <c r="BW25" s="51"/>
      <c r="BX25" s="51"/>
      <c r="CE25" s="215"/>
      <c r="CF25" s="201"/>
      <c r="CG25" s="51"/>
      <c r="CH25" s="51"/>
      <c r="CI25" s="51"/>
      <c r="CJ25" s="51"/>
      <c r="CK25" s="51"/>
      <c r="CL25" s="51"/>
      <c r="CM25" s="51"/>
      <c r="CN25" s="51"/>
      <c r="CO25" s="51"/>
      <c r="CP25" s="51"/>
      <c r="CQ25" s="51"/>
      <c r="CR25" s="51"/>
      <c r="CS25" s="51"/>
      <c r="CY25" s="198"/>
      <c r="CZ25" s="200"/>
      <c r="DA25" s="51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</row>
    <row r="26" spans="2:117" ht="18.75" x14ac:dyDescent="0.25">
      <c r="B26" s="198"/>
      <c r="C26" s="200"/>
      <c r="D26" s="51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U26" s="198"/>
      <c r="V26" s="212"/>
      <c r="W26" s="51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P26" s="198"/>
      <c r="AQ26" s="212"/>
      <c r="AR26" s="51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J26" s="214"/>
      <c r="BK26" s="200"/>
      <c r="BL26" s="51"/>
      <c r="BM26" s="51"/>
      <c r="BN26" s="51"/>
      <c r="BO26" s="51"/>
      <c r="BP26" s="51"/>
      <c r="BQ26" s="51"/>
      <c r="BR26" s="51"/>
      <c r="BS26" s="51"/>
      <c r="BT26" s="51"/>
      <c r="BU26" s="51"/>
      <c r="BV26" s="51"/>
      <c r="BW26" s="51"/>
      <c r="BX26" s="51"/>
      <c r="CE26" s="214"/>
      <c r="CF26" s="200"/>
      <c r="CG26" s="51"/>
      <c r="CH26" s="51"/>
      <c r="CI26" s="51"/>
      <c r="CJ26" s="51"/>
      <c r="CK26" s="51"/>
      <c r="CL26" s="51"/>
      <c r="CM26" s="51"/>
      <c r="CN26" s="51"/>
      <c r="CO26" s="51"/>
      <c r="CP26" s="51"/>
      <c r="CQ26" s="51"/>
      <c r="CR26" s="51"/>
      <c r="CS26" s="51"/>
      <c r="CY26" s="199"/>
      <c r="CZ26" s="201"/>
      <c r="DA26" s="51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</row>
    <row r="27" spans="2:117" ht="18.75" x14ac:dyDescent="0.25">
      <c r="B27" s="199"/>
      <c r="C27" s="201"/>
      <c r="D27" s="51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U27" s="199"/>
      <c r="V27" s="213"/>
      <c r="W27" s="51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P27" s="199"/>
      <c r="AQ27" s="213"/>
      <c r="AR27" s="51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J27" s="215"/>
      <c r="BK27" s="20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V27" s="51"/>
      <c r="BW27" s="51"/>
      <c r="BX27" s="51"/>
      <c r="CE27" s="215"/>
      <c r="CF27" s="201"/>
      <c r="CG27" s="51"/>
      <c r="CH27" s="51"/>
      <c r="CI27" s="51"/>
      <c r="CJ27" s="51"/>
      <c r="CK27" s="51"/>
      <c r="CL27" s="51"/>
      <c r="CM27" s="51"/>
      <c r="CN27" s="51"/>
      <c r="CO27" s="51"/>
      <c r="CP27" s="51"/>
      <c r="CQ27" s="51"/>
      <c r="CR27" s="51"/>
      <c r="CS27" s="51"/>
      <c r="CY27" s="198"/>
      <c r="CZ27" s="200"/>
      <c r="DA27" s="51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</row>
    <row r="28" spans="2:117" ht="18.75" x14ac:dyDescent="0.25">
      <c r="B28" s="198"/>
      <c r="C28" s="200"/>
      <c r="D28" s="51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U28" s="198"/>
      <c r="V28" s="212"/>
      <c r="W28" s="51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P28" s="198"/>
      <c r="AQ28" s="212"/>
      <c r="AR28" s="51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J28" s="214"/>
      <c r="BK28" s="200"/>
      <c r="BL28" s="51"/>
      <c r="BM28" s="51"/>
      <c r="BN28" s="51"/>
      <c r="BO28" s="51"/>
      <c r="BP28" s="51"/>
      <c r="BQ28" s="51"/>
      <c r="BR28" s="51"/>
      <c r="BS28" s="51"/>
      <c r="BT28" s="51"/>
      <c r="BU28" s="51"/>
      <c r="BV28" s="51"/>
      <c r="BW28" s="51"/>
      <c r="BX28" s="51"/>
      <c r="CE28" s="214"/>
      <c r="CF28" s="200"/>
      <c r="CG28" s="51"/>
      <c r="CH28" s="51"/>
      <c r="CI28" s="51"/>
      <c r="CJ28" s="51"/>
      <c r="CK28" s="51"/>
      <c r="CL28" s="51"/>
      <c r="CM28" s="51"/>
      <c r="CN28" s="51"/>
      <c r="CO28" s="51"/>
      <c r="CP28" s="51"/>
      <c r="CQ28" s="51"/>
      <c r="CR28" s="51"/>
      <c r="CS28" s="51"/>
      <c r="CY28" s="199"/>
      <c r="CZ28" s="201"/>
      <c r="DA28" s="51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</row>
    <row r="29" spans="2:117" ht="18.75" x14ac:dyDescent="0.25">
      <c r="B29" s="199"/>
      <c r="C29" s="201"/>
      <c r="D29" s="51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U29" s="199"/>
      <c r="V29" s="213"/>
      <c r="W29" s="51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P29" s="199"/>
      <c r="AQ29" s="213"/>
      <c r="AR29" s="51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J29" s="215"/>
      <c r="BK29" s="201"/>
      <c r="BL29" s="51"/>
      <c r="BM29" s="51"/>
      <c r="BN29" s="51"/>
      <c r="BO29" s="51"/>
      <c r="BP29" s="51"/>
      <c r="BQ29" s="51"/>
      <c r="BR29" s="51"/>
      <c r="BS29" s="51"/>
      <c r="BT29" s="51"/>
      <c r="BU29" s="51"/>
      <c r="BV29" s="51"/>
      <c r="BW29" s="51"/>
      <c r="BX29" s="51"/>
      <c r="CE29" s="215"/>
      <c r="CF29" s="201"/>
      <c r="CG29" s="51"/>
      <c r="CH29" s="51"/>
      <c r="CI29" s="51"/>
      <c r="CJ29" s="51"/>
      <c r="CK29" s="51"/>
      <c r="CL29" s="51"/>
      <c r="CM29" s="51"/>
      <c r="CN29" s="51"/>
      <c r="CO29" s="51"/>
      <c r="CP29" s="51"/>
      <c r="CQ29" s="51"/>
      <c r="CR29" s="51"/>
      <c r="CS29" s="51"/>
      <c r="CY29" s="198"/>
      <c r="CZ29" s="200"/>
      <c r="DA29" s="51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</row>
    <row r="30" spans="2:117" ht="18.75" x14ac:dyDescent="0.25">
      <c r="B30" s="198"/>
      <c r="C30" s="200"/>
      <c r="D30" s="51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U30" s="198"/>
      <c r="V30" s="212"/>
      <c r="W30" s="51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P30" s="198"/>
      <c r="AQ30" s="212"/>
      <c r="AR30" s="51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J30" s="214"/>
      <c r="BK30" s="200"/>
      <c r="BL30" s="51"/>
      <c r="BM30" s="51"/>
      <c r="BN30" s="51"/>
      <c r="BO30" s="51"/>
      <c r="BP30" s="51"/>
      <c r="BQ30" s="51"/>
      <c r="BR30" s="51"/>
      <c r="BS30" s="51"/>
      <c r="BT30" s="51"/>
      <c r="BU30" s="51"/>
      <c r="BV30" s="51"/>
      <c r="BW30" s="51"/>
      <c r="BX30" s="51"/>
      <c r="CE30" s="214"/>
      <c r="CF30" s="200"/>
      <c r="CG30" s="51"/>
      <c r="CH30" s="51"/>
      <c r="CI30" s="51"/>
      <c r="CJ30" s="51"/>
      <c r="CK30" s="51"/>
      <c r="CL30" s="51"/>
      <c r="CM30" s="51"/>
      <c r="CN30" s="51"/>
      <c r="CO30" s="51"/>
      <c r="CP30" s="51"/>
      <c r="CQ30" s="51"/>
      <c r="CR30" s="51"/>
      <c r="CS30" s="51"/>
      <c r="CY30" s="199"/>
      <c r="CZ30" s="201"/>
      <c r="DA30" s="51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</row>
    <row r="31" spans="2:117" ht="18.75" x14ac:dyDescent="0.25">
      <c r="B31" s="199"/>
      <c r="C31" s="201"/>
      <c r="D31" s="51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U31" s="199"/>
      <c r="V31" s="213"/>
      <c r="W31" s="51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P31" s="199"/>
      <c r="AQ31" s="213"/>
      <c r="AR31" s="51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J31" s="215"/>
      <c r="BK31" s="201"/>
      <c r="BL31" s="51"/>
      <c r="BM31" s="51"/>
      <c r="BN31" s="51"/>
      <c r="BO31" s="51"/>
      <c r="BP31" s="51"/>
      <c r="BQ31" s="51"/>
      <c r="BR31" s="51"/>
      <c r="BS31" s="51"/>
      <c r="BT31" s="51"/>
      <c r="BU31" s="51"/>
      <c r="BV31" s="51"/>
      <c r="BW31" s="51"/>
      <c r="BX31" s="51"/>
      <c r="CE31" s="215"/>
      <c r="CF31" s="201"/>
      <c r="CG31" s="51"/>
      <c r="CH31" s="51"/>
      <c r="CI31" s="51"/>
      <c r="CJ31" s="51"/>
      <c r="CK31" s="51"/>
      <c r="CL31" s="51"/>
      <c r="CM31" s="51"/>
      <c r="CN31" s="51"/>
      <c r="CO31" s="51"/>
      <c r="CP31" s="51"/>
      <c r="CQ31" s="51"/>
      <c r="CR31" s="51"/>
      <c r="CS31" s="51"/>
      <c r="CY31" s="198"/>
      <c r="CZ31" s="200"/>
      <c r="DA31" s="51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</row>
    <row r="32" spans="2:117" ht="18.75" x14ac:dyDescent="0.25">
      <c r="B32" s="198"/>
      <c r="C32" s="200"/>
      <c r="D32" s="51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U32" s="198"/>
      <c r="V32" s="212"/>
      <c r="W32" s="51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P32" s="198"/>
      <c r="AQ32" s="212"/>
      <c r="AR32" s="51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J32" s="214"/>
      <c r="BK32" s="200"/>
      <c r="BL32" s="51"/>
      <c r="BM32" s="51"/>
      <c r="BN32" s="51"/>
      <c r="BO32" s="51"/>
      <c r="BP32" s="51"/>
      <c r="BQ32" s="51"/>
      <c r="BR32" s="51"/>
      <c r="BS32" s="51"/>
      <c r="BT32" s="51"/>
      <c r="BU32" s="51"/>
      <c r="BV32" s="51"/>
      <c r="BW32" s="51"/>
      <c r="BX32" s="51"/>
      <c r="CE32" s="214"/>
      <c r="CF32" s="200"/>
      <c r="CG32" s="51"/>
      <c r="CH32" s="51"/>
      <c r="CI32" s="51"/>
      <c r="CJ32" s="51"/>
      <c r="CK32" s="51"/>
      <c r="CL32" s="51"/>
      <c r="CM32" s="51"/>
      <c r="CN32" s="51"/>
      <c r="CO32" s="51"/>
      <c r="CP32" s="51"/>
      <c r="CQ32" s="51"/>
      <c r="CR32" s="51"/>
      <c r="CS32" s="51"/>
      <c r="CY32" s="199"/>
      <c r="CZ32" s="201"/>
      <c r="DA32" s="51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</row>
    <row r="33" spans="2:117" ht="18.75" x14ac:dyDescent="0.25">
      <c r="B33" s="199"/>
      <c r="C33" s="201"/>
      <c r="D33" s="51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U33" s="199"/>
      <c r="V33" s="213"/>
      <c r="W33" s="51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P33" s="199"/>
      <c r="AQ33" s="213"/>
      <c r="AR33" s="51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J33" s="215"/>
      <c r="BK33" s="20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CE33" s="215"/>
      <c r="CF33" s="20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Y33" s="198"/>
      <c r="CZ33" s="200"/>
      <c r="DA33" s="51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</row>
    <row r="34" spans="2:117" ht="18.75" x14ac:dyDescent="0.25">
      <c r="B34" s="198"/>
      <c r="C34" s="200"/>
      <c r="D34" s="51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U34" s="198"/>
      <c r="V34" s="212"/>
      <c r="W34" s="51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P34" s="198"/>
      <c r="AQ34" s="212"/>
      <c r="AR34" s="51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  <c r="CY34" s="199"/>
      <c r="CZ34" s="201"/>
      <c r="DA34" s="51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</row>
    <row r="35" spans="2:117" ht="18.75" x14ac:dyDescent="0.25">
      <c r="B35" s="199"/>
      <c r="C35" s="201"/>
      <c r="D35" s="51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U35" s="199"/>
      <c r="V35" s="213"/>
      <c r="W35" s="51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P35" s="199"/>
      <c r="AQ35" s="213"/>
      <c r="AR35" s="51"/>
      <c r="AS35" s="46"/>
      <c r="AT35" s="46"/>
      <c r="AU35" s="46"/>
      <c r="AV35" s="46"/>
      <c r="AW35" s="46"/>
      <c r="AX35" s="46"/>
      <c r="AY35" s="46"/>
      <c r="AZ35" s="46"/>
      <c r="BA35" s="46"/>
      <c r="BB35" s="46"/>
      <c r="BC35" s="46"/>
      <c r="BD35" s="46"/>
    </row>
  </sheetData>
  <mergeCells count="174">
    <mergeCell ref="CY27:CY28"/>
    <mergeCell ref="CZ27:CZ28"/>
    <mergeCell ref="CY29:CY30"/>
    <mergeCell ref="CZ29:CZ30"/>
    <mergeCell ref="CY31:CY32"/>
    <mergeCell ref="CZ31:CZ32"/>
    <mergeCell ref="CY33:CY34"/>
    <mergeCell ref="CZ33:CZ34"/>
    <mergeCell ref="CY17:CY18"/>
    <mergeCell ref="CZ17:CZ18"/>
    <mergeCell ref="CY19:CY20"/>
    <mergeCell ref="CZ19:CZ20"/>
    <mergeCell ref="CY21:CY22"/>
    <mergeCell ref="CZ21:CZ22"/>
    <mergeCell ref="CY23:CY24"/>
    <mergeCell ref="CZ23:CZ24"/>
    <mergeCell ref="CY25:CY26"/>
    <mergeCell ref="CZ25:CZ26"/>
    <mergeCell ref="CY9:CY10"/>
    <mergeCell ref="CZ9:CZ10"/>
    <mergeCell ref="CY11:CY12"/>
    <mergeCell ref="CZ11:CZ12"/>
    <mergeCell ref="CY13:CY14"/>
    <mergeCell ref="CZ13:CZ14"/>
    <mergeCell ref="CY15:CY16"/>
    <mergeCell ref="CZ15:CZ16"/>
    <mergeCell ref="DD4:DI5"/>
    <mergeCell ref="CY7:CY8"/>
    <mergeCell ref="CZ7:CZ8"/>
    <mergeCell ref="CE32:CE33"/>
    <mergeCell ref="CF32:CF33"/>
    <mergeCell ref="CJ3:CO4"/>
    <mergeCell ref="CE6:CE7"/>
    <mergeCell ref="CF6:CF7"/>
    <mergeCell ref="CE8:CE9"/>
    <mergeCell ref="CF8:CF9"/>
    <mergeCell ref="CE10:CE11"/>
    <mergeCell ref="CF10:CF11"/>
    <mergeCell ref="CE12:CE13"/>
    <mergeCell ref="CF12:CF13"/>
    <mergeCell ref="CE14:CE15"/>
    <mergeCell ref="CF14:CF15"/>
    <mergeCell ref="CE16:CE17"/>
    <mergeCell ref="CF16:CF17"/>
    <mergeCell ref="CE18:CE19"/>
    <mergeCell ref="CF18:CF19"/>
    <mergeCell ref="CE20:CE21"/>
    <mergeCell ref="CF20:CF21"/>
    <mergeCell ref="CE22:CE23"/>
    <mergeCell ref="CF22:CF23"/>
    <mergeCell ref="CE24:CE25"/>
    <mergeCell ref="CE26:CE27"/>
    <mergeCell ref="CE28:CE29"/>
    <mergeCell ref="CE30:CE31"/>
    <mergeCell ref="CF24:CF25"/>
    <mergeCell ref="CF26:CF27"/>
    <mergeCell ref="CF28:CF29"/>
    <mergeCell ref="CF30:CF31"/>
    <mergeCell ref="BO3:BT4"/>
    <mergeCell ref="BJ6:BJ7"/>
    <mergeCell ref="BK6:BK7"/>
    <mergeCell ref="BJ32:BJ33"/>
    <mergeCell ref="BK32:BK33"/>
    <mergeCell ref="BJ26:BJ27"/>
    <mergeCell ref="BK26:BK27"/>
    <mergeCell ref="BJ28:BJ29"/>
    <mergeCell ref="BK28:BK29"/>
    <mergeCell ref="BJ30:BJ31"/>
    <mergeCell ref="BK30:BK31"/>
    <mergeCell ref="BJ20:BJ21"/>
    <mergeCell ref="BK20:BK21"/>
    <mergeCell ref="BJ22:BJ23"/>
    <mergeCell ref="BK22:BK23"/>
    <mergeCell ref="BJ24:BJ25"/>
    <mergeCell ref="BK24:BK25"/>
    <mergeCell ref="BK12:BK13"/>
    <mergeCell ref="BJ14:BJ15"/>
    <mergeCell ref="AP26:AP27"/>
    <mergeCell ref="AP28:AP29"/>
    <mergeCell ref="BK14:BK15"/>
    <mergeCell ref="BJ16:BJ17"/>
    <mergeCell ref="BK16:BK17"/>
    <mergeCell ref="BJ18:BJ19"/>
    <mergeCell ref="BK18:BK19"/>
    <mergeCell ref="BJ8:BJ9"/>
    <mergeCell ref="BK8:BK9"/>
    <mergeCell ref="BJ10:BJ11"/>
    <mergeCell ref="BK10:BK11"/>
    <mergeCell ref="BJ12:BJ13"/>
    <mergeCell ref="AU5:AZ6"/>
    <mergeCell ref="AP8:AP9"/>
    <mergeCell ref="AP10:AP11"/>
    <mergeCell ref="AP12:AP13"/>
    <mergeCell ref="AP14:AP15"/>
    <mergeCell ref="AP16:AP17"/>
    <mergeCell ref="AQ32:AQ33"/>
    <mergeCell ref="AQ34:AQ35"/>
    <mergeCell ref="AQ26:AQ27"/>
    <mergeCell ref="AQ28:AQ29"/>
    <mergeCell ref="AQ30:AQ31"/>
    <mergeCell ref="AQ20:AQ21"/>
    <mergeCell ref="AQ22:AQ23"/>
    <mergeCell ref="AQ24:AQ25"/>
    <mergeCell ref="AQ14:AQ15"/>
    <mergeCell ref="AQ16:AQ17"/>
    <mergeCell ref="AQ18:AQ19"/>
    <mergeCell ref="AP30:AP31"/>
    <mergeCell ref="AP32:AP33"/>
    <mergeCell ref="AP34:AP35"/>
    <mergeCell ref="AP18:AP19"/>
    <mergeCell ref="AP20:AP21"/>
    <mergeCell ref="AP22:AP23"/>
    <mergeCell ref="AP24:AP25"/>
    <mergeCell ref="U34:U35"/>
    <mergeCell ref="V34:V35"/>
    <mergeCell ref="AQ8:AQ9"/>
    <mergeCell ref="AQ10:AQ11"/>
    <mergeCell ref="AQ12:AQ13"/>
    <mergeCell ref="U26:U27"/>
    <mergeCell ref="V26:V27"/>
    <mergeCell ref="U28:U29"/>
    <mergeCell ref="V28:V29"/>
    <mergeCell ref="U30:U31"/>
    <mergeCell ref="V30:V31"/>
    <mergeCell ref="U20:U21"/>
    <mergeCell ref="V20:V21"/>
    <mergeCell ref="U22:U23"/>
    <mergeCell ref="V22:V23"/>
    <mergeCell ref="U24:U25"/>
    <mergeCell ref="V24:V25"/>
    <mergeCell ref="V12:V13"/>
    <mergeCell ref="U14:U15"/>
    <mergeCell ref="V14:V15"/>
    <mergeCell ref="U16:U17"/>
    <mergeCell ref="V16:V17"/>
    <mergeCell ref="U18:U19"/>
    <mergeCell ref="V18:V19"/>
    <mergeCell ref="Z5:AE6"/>
    <mergeCell ref="U8:U9"/>
    <mergeCell ref="V8:V9"/>
    <mergeCell ref="U10:U11"/>
    <mergeCell ref="V10:V11"/>
    <mergeCell ref="U12:U13"/>
    <mergeCell ref="B32:B33"/>
    <mergeCell ref="C32:C33"/>
    <mergeCell ref="C12:C13"/>
    <mergeCell ref="B14:B15"/>
    <mergeCell ref="C14:C15"/>
    <mergeCell ref="B16:B17"/>
    <mergeCell ref="C16:C17"/>
    <mergeCell ref="B18:B19"/>
    <mergeCell ref="C18:C19"/>
    <mergeCell ref="G5:L6"/>
    <mergeCell ref="B8:B9"/>
    <mergeCell ref="C8:C9"/>
    <mergeCell ref="B10:B11"/>
    <mergeCell ref="C10:C11"/>
    <mergeCell ref="B12:B13"/>
    <mergeCell ref="U32:U33"/>
    <mergeCell ref="V32:V33"/>
    <mergeCell ref="B34:B35"/>
    <mergeCell ref="C34:C35"/>
    <mergeCell ref="B26:B27"/>
    <mergeCell ref="C26:C27"/>
    <mergeCell ref="B28:B29"/>
    <mergeCell ref="C28:C29"/>
    <mergeCell ref="B30:B31"/>
    <mergeCell ref="C30:C31"/>
    <mergeCell ref="B20:B21"/>
    <mergeCell ref="C20:C21"/>
    <mergeCell ref="B22:B23"/>
    <mergeCell ref="C22:C23"/>
    <mergeCell ref="B24:B25"/>
    <mergeCell ref="C24:C25"/>
  </mergeCells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F98C9-6016-42A5-8CDC-A6E450938ABD}">
  <dimension ref="C4:BD34"/>
  <sheetViews>
    <sheetView rightToLeft="1" topLeftCell="AM4" workbookViewId="0">
      <selection activeCell="AP7" sqref="AP7:AS10"/>
    </sheetView>
  </sheetViews>
  <sheetFormatPr defaultColWidth="11.42578125" defaultRowHeight="15" x14ac:dyDescent="0.25"/>
  <cols>
    <col min="3" max="3" width="19" customWidth="1"/>
    <col min="4" max="4" width="25.5703125" bestFit="1" customWidth="1"/>
    <col min="5" max="5" width="22.7109375" customWidth="1"/>
    <col min="6" max="6" width="24.5703125" customWidth="1"/>
    <col min="7" max="7" width="16.5703125" customWidth="1"/>
    <col min="21" max="21" width="18.140625" customWidth="1"/>
    <col min="22" max="22" width="18.5703125" customWidth="1"/>
    <col min="23" max="23" width="20.5703125" customWidth="1"/>
    <col min="24" max="24" width="23.7109375" customWidth="1"/>
    <col min="42" max="42" width="22.140625" customWidth="1"/>
    <col min="43" max="43" width="28.5703125" bestFit="1" customWidth="1"/>
    <col min="44" max="44" width="21" customWidth="1"/>
    <col min="45" max="45" width="26" customWidth="1"/>
    <col min="46" max="46" width="17.42578125" customWidth="1"/>
  </cols>
  <sheetData>
    <row r="4" spans="3:56" ht="28.5" customHeight="1" x14ac:dyDescent="0.3">
      <c r="C4" s="53"/>
      <c r="D4" s="53"/>
      <c r="E4" s="53"/>
      <c r="F4" s="53"/>
      <c r="G4" s="216" t="s">
        <v>514</v>
      </c>
      <c r="H4" s="216"/>
      <c r="I4" s="216"/>
      <c r="J4" s="216"/>
      <c r="K4" s="216"/>
      <c r="L4" s="216"/>
      <c r="M4" s="216"/>
      <c r="N4" s="53"/>
      <c r="O4" s="53"/>
      <c r="P4" s="53"/>
      <c r="Q4" s="53"/>
      <c r="U4" s="53"/>
      <c r="V4" s="53"/>
      <c r="W4" s="53"/>
      <c r="X4" s="53"/>
      <c r="Y4" s="217" t="s">
        <v>518</v>
      </c>
      <c r="Z4" s="217"/>
      <c r="AA4" s="217"/>
      <c r="AB4" s="217"/>
      <c r="AC4" s="217"/>
      <c r="AD4" s="217"/>
      <c r="AE4" s="218"/>
      <c r="AF4" s="53"/>
      <c r="AG4" s="53"/>
      <c r="AH4" s="53"/>
      <c r="AI4" s="53"/>
      <c r="AP4" s="53"/>
      <c r="AQ4" s="53"/>
      <c r="AR4" s="53"/>
      <c r="AS4" s="53"/>
      <c r="AT4" s="216" t="s">
        <v>698</v>
      </c>
      <c r="AU4" s="216"/>
      <c r="AV4" s="216"/>
      <c r="AW4" s="216"/>
      <c r="AX4" s="216"/>
      <c r="AY4" s="216"/>
      <c r="AZ4" s="216"/>
      <c r="BA4" s="53"/>
      <c r="BB4" s="53"/>
      <c r="BC4" s="53"/>
      <c r="BD4" s="53"/>
    </row>
    <row r="5" spans="3:56" ht="18.75" customHeight="1" x14ac:dyDescent="0.3">
      <c r="C5" s="53"/>
      <c r="D5" s="53"/>
      <c r="E5" s="53"/>
      <c r="F5" s="53"/>
      <c r="G5" s="216"/>
      <c r="H5" s="216"/>
      <c r="I5" s="216"/>
      <c r="J5" s="216"/>
      <c r="K5" s="216"/>
      <c r="L5" s="216"/>
      <c r="M5" s="216"/>
      <c r="N5" s="53"/>
      <c r="O5" s="53"/>
      <c r="P5" s="53"/>
      <c r="Q5" s="53"/>
      <c r="U5" s="53"/>
      <c r="V5" s="53"/>
      <c r="W5" s="53"/>
      <c r="X5" s="53"/>
      <c r="Y5" s="219"/>
      <c r="Z5" s="219"/>
      <c r="AA5" s="219"/>
      <c r="AB5" s="219"/>
      <c r="AC5" s="219"/>
      <c r="AD5" s="219"/>
      <c r="AE5" s="220"/>
      <c r="AF5" s="53"/>
      <c r="AG5" s="53"/>
      <c r="AH5" s="53"/>
      <c r="AI5" s="53"/>
      <c r="AP5" s="53"/>
      <c r="AQ5" s="53"/>
      <c r="AR5" s="53"/>
      <c r="AS5" s="53"/>
      <c r="AT5" s="216"/>
      <c r="AU5" s="216"/>
      <c r="AV5" s="216"/>
      <c r="AW5" s="216"/>
      <c r="AX5" s="216"/>
      <c r="AY5" s="216"/>
      <c r="AZ5" s="216"/>
      <c r="BA5" s="53"/>
      <c r="BB5" s="53"/>
      <c r="BC5" s="53"/>
      <c r="BD5" s="53"/>
    </row>
    <row r="6" spans="3:56" ht="21" x14ac:dyDescent="0.35">
      <c r="C6" s="56" t="s">
        <v>218</v>
      </c>
      <c r="D6" s="7" t="s">
        <v>1</v>
      </c>
      <c r="E6" s="7" t="s">
        <v>2</v>
      </c>
      <c r="F6" s="7" t="s">
        <v>3</v>
      </c>
      <c r="G6" s="7" t="s">
        <v>4</v>
      </c>
      <c r="H6" s="7" t="s">
        <v>5</v>
      </c>
      <c r="I6" s="7" t="s">
        <v>6</v>
      </c>
      <c r="J6" s="7" t="s">
        <v>7</v>
      </c>
      <c r="K6" s="7" t="s">
        <v>8</v>
      </c>
      <c r="L6" s="7" t="s">
        <v>9</v>
      </c>
      <c r="M6" s="7" t="s">
        <v>10</v>
      </c>
      <c r="N6" s="7" t="s">
        <v>11</v>
      </c>
      <c r="O6" s="7" t="s">
        <v>12</v>
      </c>
      <c r="P6" s="7" t="s">
        <v>13</v>
      </c>
      <c r="Q6" s="7" t="s">
        <v>14</v>
      </c>
      <c r="U6" s="56" t="s">
        <v>218</v>
      </c>
      <c r="V6" s="7" t="s">
        <v>1</v>
      </c>
      <c r="W6" s="7" t="s">
        <v>2</v>
      </c>
      <c r="X6" s="7" t="s">
        <v>3</v>
      </c>
      <c r="Y6" s="1" t="s">
        <v>4</v>
      </c>
      <c r="Z6" s="1" t="s">
        <v>5</v>
      </c>
      <c r="AA6" s="1" t="s">
        <v>6</v>
      </c>
      <c r="AB6" s="1" t="s">
        <v>7</v>
      </c>
      <c r="AC6" s="1" t="s">
        <v>8</v>
      </c>
      <c r="AD6" s="1" t="s">
        <v>9</v>
      </c>
      <c r="AE6" s="1" t="s">
        <v>10</v>
      </c>
      <c r="AF6" s="1" t="s">
        <v>11</v>
      </c>
      <c r="AG6" s="1" t="s">
        <v>12</v>
      </c>
      <c r="AH6" s="1" t="s">
        <v>13</v>
      </c>
      <c r="AI6" s="1" t="s">
        <v>14</v>
      </c>
      <c r="AP6" s="56" t="s">
        <v>218</v>
      </c>
      <c r="AQ6" s="7" t="s">
        <v>1</v>
      </c>
      <c r="AR6" s="7" t="s">
        <v>2</v>
      </c>
      <c r="AS6" s="7" t="s">
        <v>3</v>
      </c>
      <c r="AT6" s="1" t="s">
        <v>4</v>
      </c>
      <c r="AU6" s="1" t="s">
        <v>5</v>
      </c>
      <c r="AV6" s="1" t="s">
        <v>6</v>
      </c>
      <c r="AW6" s="1" t="s">
        <v>7</v>
      </c>
      <c r="AX6" s="1" t="s">
        <v>8</v>
      </c>
      <c r="AY6" s="1" t="s">
        <v>9</v>
      </c>
      <c r="AZ6" s="1" t="s">
        <v>10</v>
      </c>
      <c r="BA6" s="1" t="s">
        <v>11</v>
      </c>
      <c r="BB6" s="1" t="s">
        <v>12</v>
      </c>
      <c r="BC6" s="1" t="s">
        <v>13</v>
      </c>
      <c r="BD6" s="1" t="s">
        <v>14</v>
      </c>
    </row>
    <row r="7" spans="3:56" ht="18.75" x14ac:dyDescent="0.25">
      <c r="C7" s="198" t="s">
        <v>515</v>
      </c>
      <c r="D7" s="200"/>
      <c r="E7" s="30"/>
      <c r="F7" s="46">
        <v>1500</v>
      </c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U7" s="198" t="s">
        <v>515</v>
      </c>
      <c r="V7" s="200"/>
      <c r="W7" s="30"/>
      <c r="X7" s="46">
        <v>1500</v>
      </c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P7" s="198" t="s">
        <v>957</v>
      </c>
      <c r="AQ7" s="200" t="s">
        <v>1033</v>
      </c>
      <c r="AR7" s="30">
        <v>250</v>
      </c>
      <c r="AS7" s="46">
        <v>1500</v>
      </c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</row>
    <row r="8" spans="3:56" ht="18.75" customHeight="1" x14ac:dyDescent="0.25">
      <c r="C8" s="199"/>
      <c r="D8" s="201"/>
      <c r="E8" s="30"/>
      <c r="F8" s="30" t="s">
        <v>516</v>
      </c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U8" s="199"/>
      <c r="V8" s="201"/>
      <c r="W8" s="30"/>
      <c r="X8" s="30" t="s">
        <v>516</v>
      </c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P8" s="199"/>
      <c r="AQ8" s="201"/>
      <c r="AR8" s="30" t="s">
        <v>958</v>
      </c>
      <c r="AS8" s="30" t="s">
        <v>958</v>
      </c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</row>
    <row r="9" spans="3:56" ht="18.75" x14ac:dyDescent="0.25">
      <c r="C9" s="198" t="s">
        <v>986</v>
      </c>
      <c r="D9" s="200"/>
      <c r="E9" s="51">
        <v>250</v>
      </c>
      <c r="F9" s="46">
        <v>1500</v>
      </c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U9" s="198"/>
      <c r="V9" s="50"/>
      <c r="W9" s="51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P9" s="198" t="s">
        <v>988</v>
      </c>
      <c r="AQ9" s="200" t="s">
        <v>1034</v>
      </c>
      <c r="AR9" s="30">
        <v>250</v>
      </c>
      <c r="AS9" s="46">
        <v>1500</v>
      </c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</row>
    <row r="10" spans="3:56" ht="18.75" x14ac:dyDescent="0.25">
      <c r="C10" s="199"/>
      <c r="D10" s="201"/>
      <c r="E10" s="51" t="s">
        <v>987</v>
      </c>
      <c r="F10" s="51" t="s">
        <v>987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U10" s="199"/>
      <c r="V10" s="52"/>
      <c r="W10" s="51"/>
      <c r="X10" s="51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P10" s="199"/>
      <c r="AQ10" s="201"/>
      <c r="AR10" s="30" t="s">
        <v>989</v>
      </c>
      <c r="AS10" s="30" t="s">
        <v>989</v>
      </c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</row>
    <row r="11" spans="3:56" ht="18.75" x14ac:dyDescent="0.25">
      <c r="C11" s="198" t="s">
        <v>1056</v>
      </c>
      <c r="D11" s="200" t="s">
        <v>1057</v>
      </c>
      <c r="E11" s="51">
        <v>250</v>
      </c>
      <c r="F11" s="46">
        <v>1500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U11" s="198"/>
      <c r="V11" s="50"/>
      <c r="W11" s="51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P11" s="198"/>
      <c r="AQ11" s="50"/>
      <c r="AR11" s="51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</row>
    <row r="12" spans="3:56" ht="18.75" x14ac:dyDescent="0.25">
      <c r="C12" s="199"/>
      <c r="D12" s="201"/>
      <c r="E12" s="51" t="s">
        <v>1058</v>
      </c>
      <c r="F12" s="51" t="s">
        <v>1058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U12" s="199"/>
      <c r="V12" s="52"/>
      <c r="W12" s="51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P12" s="199"/>
      <c r="AQ12" s="52"/>
      <c r="AR12" s="51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</row>
    <row r="13" spans="3:56" ht="18.75" x14ac:dyDescent="0.25">
      <c r="C13" s="198"/>
      <c r="D13" s="200"/>
      <c r="E13" s="51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U13" s="198"/>
      <c r="V13" s="50"/>
      <c r="W13" s="51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P13" s="198"/>
      <c r="AQ13" s="50"/>
      <c r="AR13" s="51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</row>
    <row r="14" spans="3:56" ht="18.75" x14ac:dyDescent="0.25">
      <c r="C14" s="199"/>
      <c r="D14" s="201"/>
      <c r="E14" s="51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U14" s="199"/>
      <c r="V14" s="52"/>
      <c r="W14" s="51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P14" s="199"/>
      <c r="AQ14" s="52"/>
      <c r="AR14" s="51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</row>
    <row r="15" spans="3:56" ht="18.75" x14ac:dyDescent="0.25">
      <c r="C15" s="48"/>
      <c r="D15" s="200"/>
      <c r="E15" s="51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U15" s="48"/>
      <c r="V15" s="50"/>
      <c r="W15" s="51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P15" s="48"/>
      <c r="AQ15" s="50"/>
      <c r="AR15" s="51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</row>
    <row r="16" spans="3:56" ht="18.75" x14ac:dyDescent="0.25">
      <c r="C16" s="49"/>
      <c r="D16" s="201"/>
      <c r="E16" s="51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S16" t="s">
        <v>609</v>
      </c>
      <c r="U16" s="49"/>
      <c r="V16" s="52"/>
      <c r="W16" s="51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P16" s="49"/>
      <c r="AQ16" s="52"/>
      <c r="AR16" s="51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</row>
    <row r="17" spans="3:56" ht="18.75" x14ac:dyDescent="0.25">
      <c r="C17" s="48"/>
      <c r="D17" s="200"/>
      <c r="E17" s="30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U17" s="48"/>
      <c r="V17" s="50"/>
      <c r="W17" s="30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P17" s="48"/>
      <c r="AQ17" s="50"/>
      <c r="AR17" s="30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</row>
    <row r="18" spans="3:56" ht="18.75" x14ac:dyDescent="0.25">
      <c r="C18" s="49"/>
      <c r="D18" s="201"/>
      <c r="E18" s="30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U18" s="49"/>
      <c r="V18" s="52"/>
      <c r="W18" s="30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P18" s="49"/>
      <c r="AQ18" s="52"/>
      <c r="AR18" s="30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</row>
    <row r="19" spans="3:56" ht="18.75" x14ac:dyDescent="0.25">
      <c r="C19" s="48"/>
      <c r="D19" s="200"/>
      <c r="E19" s="51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U19" s="48"/>
      <c r="V19" s="50"/>
      <c r="W19" s="51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P19" s="48"/>
      <c r="AQ19" s="50"/>
      <c r="AR19" s="51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</row>
    <row r="20" spans="3:56" ht="18.75" x14ac:dyDescent="0.25">
      <c r="C20" s="49"/>
      <c r="D20" s="201"/>
      <c r="E20" s="51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U20" s="49"/>
      <c r="V20" s="52"/>
      <c r="W20" s="51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P20" s="49"/>
      <c r="AQ20" s="52"/>
      <c r="AR20" s="51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</row>
    <row r="21" spans="3:56" ht="18.75" x14ac:dyDescent="0.25">
      <c r="C21" s="48"/>
      <c r="D21" s="200"/>
      <c r="E21" s="51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U21" s="48"/>
      <c r="V21" s="50"/>
      <c r="W21" s="51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P21" s="48"/>
      <c r="AQ21" s="50"/>
      <c r="AR21" s="51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</row>
    <row r="22" spans="3:56" ht="18.75" x14ac:dyDescent="0.25">
      <c r="C22" s="49"/>
      <c r="D22" s="201"/>
      <c r="E22" s="51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U22" s="49"/>
      <c r="V22" s="52"/>
      <c r="W22" s="51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P22" s="49"/>
      <c r="AQ22" s="52"/>
      <c r="AR22" s="51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</row>
    <row r="23" spans="3:56" ht="18.75" x14ac:dyDescent="0.25">
      <c r="C23" s="48"/>
      <c r="D23" s="200"/>
      <c r="E23" s="51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U23" s="48"/>
      <c r="V23" s="50"/>
      <c r="W23" s="51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P23" s="48"/>
      <c r="AQ23" s="50"/>
      <c r="AR23" s="51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</row>
    <row r="24" spans="3:56" ht="18.75" x14ac:dyDescent="0.25">
      <c r="C24" s="49"/>
      <c r="D24" s="201"/>
      <c r="E24" s="51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U24" s="49"/>
      <c r="V24" s="52"/>
      <c r="W24" s="51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P24" s="49"/>
      <c r="AQ24" s="52"/>
      <c r="AR24" s="51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</row>
    <row r="25" spans="3:56" ht="18.75" x14ac:dyDescent="0.25">
      <c r="C25" s="48"/>
      <c r="D25" s="200"/>
      <c r="E25" s="51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U25" s="48"/>
      <c r="V25" s="50"/>
      <c r="W25" s="51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P25" s="48"/>
      <c r="AQ25" s="50"/>
      <c r="AR25" s="51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</row>
    <row r="26" spans="3:56" ht="18.75" x14ac:dyDescent="0.25">
      <c r="C26" s="49"/>
      <c r="D26" s="201"/>
      <c r="E26" s="51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U26" s="49"/>
      <c r="V26" s="52"/>
      <c r="W26" s="51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P26" s="49"/>
      <c r="AQ26" s="52"/>
      <c r="AR26" s="51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</row>
    <row r="27" spans="3:56" ht="18.75" x14ac:dyDescent="0.25">
      <c r="C27" s="48"/>
      <c r="D27" s="200"/>
      <c r="E27" s="51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U27" s="48"/>
      <c r="V27" s="50"/>
      <c r="W27" s="51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P27" s="48"/>
      <c r="AQ27" s="50"/>
      <c r="AR27" s="51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</row>
    <row r="28" spans="3:56" ht="18.75" x14ac:dyDescent="0.25">
      <c r="C28" s="49"/>
      <c r="D28" s="201"/>
      <c r="E28" s="51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U28" s="49"/>
      <c r="V28" s="52"/>
      <c r="W28" s="51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P28" s="49"/>
      <c r="AQ28" s="52"/>
      <c r="AR28" s="51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</row>
    <row r="29" spans="3:56" ht="18.75" x14ac:dyDescent="0.25">
      <c r="C29" s="48"/>
      <c r="D29" s="200"/>
      <c r="E29" s="51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U29" s="48"/>
      <c r="V29" s="50"/>
      <c r="W29" s="51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P29" s="48"/>
      <c r="AQ29" s="50"/>
      <c r="AR29" s="51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</row>
    <row r="30" spans="3:56" ht="18.75" x14ac:dyDescent="0.25">
      <c r="C30" s="49"/>
      <c r="D30" s="201"/>
      <c r="E30" s="51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U30" s="49"/>
      <c r="V30" s="52"/>
      <c r="W30" s="51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P30" s="49"/>
      <c r="AQ30" s="52"/>
      <c r="AR30" s="51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</row>
    <row r="31" spans="3:56" ht="18.75" x14ac:dyDescent="0.25">
      <c r="C31" s="198"/>
      <c r="D31" s="200"/>
      <c r="E31" s="51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U31" s="198"/>
      <c r="V31" s="200"/>
      <c r="W31" s="51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P31" s="198"/>
      <c r="AQ31" s="200"/>
      <c r="AR31" s="51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</row>
    <row r="32" spans="3:56" ht="18.75" x14ac:dyDescent="0.25">
      <c r="C32" s="199"/>
      <c r="D32" s="201"/>
      <c r="E32" s="51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U32" s="199"/>
      <c r="V32" s="201"/>
      <c r="W32" s="51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P32" s="199"/>
      <c r="AQ32" s="201"/>
      <c r="AR32" s="51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</row>
    <row r="33" spans="3:56" ht="18.75" x14ac:dyDescent="0.25">
      <c r="C33" s="198"/>
      <c r="D33" s="200"/>
      <c r="E33" s="51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U33" s="198"/>
      <c r="V33" s="200"/>
      <c r="W33" s="51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P33" s="198"/>
      <c r="AQ33" s="200"/>
      <c r="AR33" s="51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</row>
    <row r="34" spans="3:56" ht="18.75" x14ac:dyDescent="0.25">
      <c r="C34" s="199"/>
      <c r="D34" s="201"/>
      <c r="E34" s="51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U34" s="199"/>
      <c r="V34" s="201"/>
      <c r="W34" s="51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P34" s="199"/>
      <c r="AQ34" s="201"/>
      <c r="AR34" s="51"/>
      <c r="AS34" s="46"/>
      <c r="AT34" s="46"/>
      <c r="AU34" s="46"/>
      <c r="AV34" s="46"/>
      <c r="AW34" s="46"/>
      <c r="AX34" s="46"/>
      <c r="AY34" s="46"/>
      <c r="AZ34" s="46"/>
      <c r="BA34" s="46"/>
      <c r="BB34" s="46"/>
      <c r="BC34" s="46"/>
      <c r="BD34" s="46"/>
    </row>
  </sheetData>
  <mergeCells count="42">
    <mergeCell ref="AT4:AZ5"/>
    <mergeCell ref="AP7:AP8"/>
    <mergeCell ref="AQ7:AQ8"/>
    <mergeCell ref="AP9:AP10"/>
    <mergeCell ref="AQ31:AQ32"/>
    <mergeCell ref="AP11:AP12"/>
    <mergeCell ref="AP13:AP14"/>
    <mergeCell ref="AP31:AP32"/>
    <mergeCell ref="AP33:AP34"/>
    <mergeCell ref="AQ33:AQ34"/>
    <mergeCell ref="C33:C34"/>
    <mergeCell ref="D33:D34"/>
    <mergeCell ref="G4:M5"/>
    <mergeCell ref="C7:C8"/>
    <mergeCell ref="C9:C10"/>
    <mergeCell ref="D7:D8"/>
    <mergeCell ref="C11:C12"/>
    <mergeCell ref="C13:C14"/>
    <mergeCell ref="C31:C32"/>
    <mergeCell ref="D31:D32"/>
    <mergeCell ref="U33:U34"/>
    <mergeCell ref="V33:V34"/>
    <mergeCell ref="Y4:AE5"/>
    <mergeCell ref="U7:U8"/>
    <mergeCell ref="V7:V8"/>
    <mergeCell ref="U9:U10"/>
    <mergeCell ref="U11:U12"/>
    <mergeCell ref="U13:U14"/>
    <mergeCell ref="U31:U32"/>
    <mergeCell ref="V31:V32"/>
    <mergeCell ref="D9:D10"/>
    <mergeCell ref="AQ9:AQ10"/>
    <mergeCell ref="D11:D12"/>
    <mergeCell ref="D13:D14"/>
    <mergeCell ref="D15:D16"/>
    <mergeCell ref="D27:D28"/>
    <mergeCell ref="D29:D30"/>
    <mergeCell ref="D17:D18"/>
    <mergeCell ref="D19:D20"/>
    <mergeCell ref="D21:D22"/>
    <mergeCell ref="D23:D24"/>
    <mergeCell ref="D25:D2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3D726-B2E5-4970-9945-3B8BDC288854}">
  <dimension ref="D3:AL38"/>
  <sheetViews>
    <sheetView rightToLeft="1" topLeftCell="R1" workbookViewId="0">
      <selection activeCell="D31" sqref="D31:D32"/>
    </sheetView>
  </sheetViews>
  <sheetFormatPr defaultColWidth="11.42578125" defaultRowHeight="15" x14ac:dyDescent="0.25"/>
  <cols>
    <col min="4" max="4" width="18.7109375" customWidth="1"/>
    <col min="5" max="5" width="17.28515625" customWidth="1"/>
    <col min="6" max="6" width="17.42578125" customWidth="1"/>
    <col min="7" max="7" width="14.85546875" customWidth="1"/>
    <col min="24" max="24" width="16.7109375" customWidth="1"/>
    <col min="25" max="25" width="20" customWidth="1"/>
    <col min="26" max="26" width="19.140625" customWidth="1"/>
    <col min="27" max="27" width="14.42578125" customWidth="1"/>
  </cols>
  <sheetData>
    <row r="3" spans="4:38" ht="18.75" x14ac:dyDescent="0.3">
      <c r="X3" s="53"/>
      <c r="Y3" s="53"/>
      <c r="Z3" s="53"/>
      <c r="AA3" s="53"/>
      <c r="AB3" s="217" t="s">
        <v>700</v>
      </c>
      <c r="AC3" s="217"/>
      <c r="AD3" s="217"/>
      <c r="AE3" s="217"/>
      <c r="AF3" s="217"/>
      <c r="AG3" s="217"/>
      <c r="AH3" s="218"/>
      <c r="AI3" s="53"/>
      <c r="AJ3" s="53"/>
      <c r="AK3" s="53"/>
      <c r="AL3" s="53"/>
    </row>
    <row r="4" spans="4:38" ht="18.75" x14ac:dyDescent="0.3">
      <c r="X4" s="53"/>
      <c r="Y4" s="53"/>
      <c r="Z4" s="53"/>
      <c r="AA4" s="53"/>
      <c r="AB4" s="219"/>
      <c r="AC4" s="219"/>
      <c r="AD4" s="219"/>
      <c r="AE4" s="219"/>
      <c r="AF4" s="219"/>
      <c r="AG4" s="219"/>
      <c r="AH4" s="220"/>
      <c r="AI4" s="53"/>
      <c r="AJ4" s="53"/>
      <c r="AK4" s="53"/>
      <c r="AL4" s="53"/>
    </row>
    <row r="5" spans="4:38" ht="21" x14ac:dyDescent="0.35">
      <c r="X5" s="56" t="s">
        <v>218</v>
      </c>
      <c r="Y5" s="7" t="s">
        <v>1</v>
      </c>
      <c r="Z5" s="7" t="s">
        <v>2</v>
      </c>
      <c r="AA5" s="7" t="s">
        <v>3</v>
      </c>
      <c r="AB5" s="1" t="s">
        <v>4</v>
      </c>
      <c r="AC5" s="1" t="s">
        <v>5</v>
      </c>
      <c r="AD5" s="1" t="s">
        <v>6</v>
      </c>
      <c r="AE5" s="1" t="s">
        <v>7</v>
      </c>
      <c r="AF5" s="1" t="s">
        <v>8</v>
      </c>
      <c r="AG5" s="1" t="s">
        <v>9</v>
      </c>
      <c r="AH5" s="1" t="s">
        <v>10</v>
      </c>
      <c r="AI5" s="1" t="s">
        <v>11</v>
      </c>
      <c r="AJ5" s="1" t="s">
        <v>12</v>
      </c>
      <c r="AK5" s="1" t="s">
        <v>13</v>
      </c>
      <c r="AL5" s="1" t="s">
        <v>14</v>
      </c>
    </row>
    <row r="6" spans="4:38" ht="18.75" x14ac:dyDescent="0.3">
      <c r="D6" s="53"/>
      <c r="E6" s="53"/>
      <c r="F6" s="53"/>
      <c r="G6" s="53"/>
      <c r="H6" s="217" t="s">
        <v>699</v>
      </c>
      <c r="I6" s="217"/>
      <c r="J6" s="217"/>
      <c r="K6" s="217"/>
      <c r="L6" s="217"/>
      <c r="M6" s="217"/>
      <c r="N6" s="218"/>
      <c r="O6" s="53"/>
      <c r="P6" s="53"/>
      <c r="Q6" s="53"/>
      <c r="R6" s="53"/>
      <c r="X6" s="198"/>
      <c r="Y6" s="200"/>
      <c r="Z6" s="30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4:38" ht="18.75" customHeight="1" x14ac:dyDescent="0.3">
      <c r="D7" s="53"/>
      <c r="E7" s="53"/>
      <c r="F7" s="53"/>
      <c r="G7" s="53"/>
      <c r="H7" s="219"/>
      <c r="I7" s="219"/>
      <c r="J7" s="219"/>
      <c r="K7" s="219"/>
      <c r="L7" s="219"/>
      <c r="M7" s="219"/>
      <c r="N7" s="220"/>
      <c r="O7" s="53"/>
      <c r="P7" s="53"/>
      <c r="Q7" s="53"/>
      <c r="R7" s="53"/>
      <c r="X7" s="199"/>
      <c r="Y7" s="201"/>
      <c r="Z7" s="30"/>
      <c r="AA7" s="30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4:38" ht="21" customHeight="1" x14ac:dyDescent="0.35">
      <c r="D8" s="56" t="s">
        <v>218</v>
      </c>
      <c r="E8" s="7" t="s">
        <v>1</v>
      </c>
      <c r="F8" s="7" t="s">
        <v>2</v>
      </c>
      <c r="G8" s="7" t="s">
        <v>3</v>
      </c>
      <c r="H8" s="1" t="s">
        <v>4</v>
      </c>
      <c r="I8" s="1" t="s">
        <v>5</v>
      </c>
      <c r="J8" s="1" t="s">
        <v>6</v>
      </c>
      <c r="K8" s="1" t="s">
        <v>7</v>
      </c>
      <c r="L8" s="1" t="s">
        <v>8</v>
      </c>
      <c r="M8" s="1" t="s">
        <v>9</v>
      </c>
      <c r="N8" s="1" t="s">
        <v>10</v>
      </c>
      <c r="O8" s="1" t="s">
        <v>11</v>
      </c>
      <c r="P8" s="1" t="s">
        <v>12</v>
      </c>
      <c r="Q8" s="1" t="s">
        <v>13</v>
      </c>
      <c r="R8" s="1" t="s">
        <v>14</v>
      </c>
      <c r="X8" s="198"/>
      <c r="Y8" s="50"/>
      <c r="Z8" s="51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4:38" ht="18.75" x14ac:dyDescent="0.25">
      <c r="D9" s="198"/>
      <c r="E9" s="198"/>
      <c r="F9" s="30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X9" s="199"/>
      <c r="Y9" s="52"/>
      <c r="Z9" s="51"/>
      <c r="AA9" s="51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4:38" ht="18.75" x14ac:dyDescent="0.25">
      <c r="D10" s="199"/>
      <c r="E10" s="199"/>
      <c r="F10" s="30"/>
      <c r="G10" s="30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X10" s="198"/>
      <c r="Y10" s="50"/>
      <c r="Z10" s="51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4:38" ht="18.75" x14ac:dyDescent="0.25">
      <c r="D11" s="198"/>
      <c r="E11" s="198"/>
      <c r="F11" s="51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X11" s="199"/>
      <c r="Y11" s="52"/>
      <c r="Z11" s="51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4:38" ht="18.75" x14ac:dyDescent="0.25">
      <c r="D12" s="199"/>
      <c r="E12" s="199"/>
      <c r="F12" s="51"/>
      <c r="G12" s="51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X12" s="198"/>
      <c r="Y12" s="50"/>
      <c r="Z12" s="51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4:38" ht="18.75" x14ac:dyDescent="0.25">
      <c r="D13" s="198"/>
      <c r="E13" s="198"/>
      <c r="F13" s="51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X13" s="199"/>
      <c r="Y13" s="52"/>
      <c r="Z13" s="51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4:38" ht="18.75" x14ac:dyDescent="0.25">
      <c r="D14" s="199"/>
      <c r="E14" s="199"/>
      <c r="F14" s="51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X14" s="48"/>
      <c r="Y14" s="50"/>
      <c r="Z14" s="51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4:38" ht="18.75" x14ac:dyDescent="0.25">
      <c r="D15" s="198"/>
      <c r="E15" s="198"/>
      <c r="F15" s="51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X15" s="49"/>
      <c r="Y15" s="52"/>
      <c r="Z15" s="51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4:38" ht="18.75" x14ac:dyDescent="0.25">
      <c r="D16" s="199"/>
      <c r="E16" s="199"/>
      <c r="F16" s="51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X16" s="48"/>
      <c r="Y16" s="50"/>
      <c r="Z16" s="30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4:38" ht="18.75" x14ac:dyDescent="0.25">
      <c r="D17" s="198"/>
      <c r="E17" s="198"/>
      <c r="F17" s="51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X17" s="49"/>
      <c r="Y17" s="52"/>
      <c r="Z17" s="30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4:38" ht="18.75" x14ac:dyDescent="0.25">
      <c r="D18" s="199"/>
      <c r="E18" s="199"/>
      <c r="F18" s="51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X18" s="48"/>
      <c r="Y18" s="50"/>
      <c r="Z18" s="51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4:38" ht="18.75" x14ac:dyDescent="0.25">
      <c r="D19" s="198"/>
      <c r="E19" s="198"/>
      <c r="F19" s="30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X19" s="49"/>
      <c r="Y19" s="52"/>
      <c r="Z19" s="51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4:38" ht="18.75" x14ac:dyDescent="0.25">
      <c r="D20" s="199"/>
      <c r="E20" s="199"/>
      <c r="F20" s="30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X20" s="48"/>
      <c r="Y20" s="50"/>
      <c r="Z20" s="51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4:38" ht="18.75" x14ac:dyDescent="0.25">
      <c r="D21" s="198"/>
      <c r="E21" s="198"/>
      <c r="F21" s="51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X21" s="49"/>
      <c r="Y21" s="52"/>
      <c r="Z21" s="51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4:38" ht="18.75" x14ac:dyDescent="0.25">
      <c r="D22" s="199"/>
      <c r="E22" s="199"/>
      <c r="F22" s="51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X22" s="48"/>
      <c r="Y22" s="50"/>
      <c r="Z22" s="51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4:38" ht="18.75" x14ac:dyDescent="0.25">
      <c r="D23" s="198"/>
      <c r="E23" s="198"/>
      <c r="F23" s="51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X23" s="49"/>
      <c r="Y23" s="52"/>
      <c r="Z23" s="51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4:38" ht="18.75" x14ac:dyDescent="0.25">
      <c r="D24" s="199"/>
      <c r="E24" s="199"/>
      <c r="F24" s="51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X24" s="48"/>
      <c r="Y24" s="50"/>
      <c r="Z24" s="51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4:38" ht="18.75" x14ac:dyDescent="0.25">
      <c r="D25" s="198"/>
      <c r="E25" s="198"/>
      <c r="F25" s="51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</row>
    <row r="26" spans="4:38" ht="18.75" x14ac:dyDescent="0.25">
      <c r="D26" s="199"/>
      <c r="E26" s="199"/>
      <c r="F26" s="51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</row>
    <row r="27" spans="4:38" ht="18.75" x14ac:dyDescent="0.25">
      <c r="D27" s="198"/>
      <c r="E27" s="198"/>
      <c r="F27" s="51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</row>
    <row r="28" spans="4:38" ht="18.75" x14ac:dyDescent="0.25">
      <c r="D28" s="199"/>
      <c r="E28" s="199"/>
      <c r="F28" s="51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</row>
    <row r="29" spans="4:38" ht="18.75" x14ac:dyDescent="0.25">
      <c r="D29" s="198"/>
      <c r="E29" s="198"/>
      <c r="F29" s="51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</row>
    <row r="30" spans="4:38" ht="18.75" x14ac:dyDescent="0.25">
      <c r="D30" s="199"/>
      <c r="E30" s="199"/>
      <c r="F30" s="51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</row>
    <row r="31" spans="4:38" ht="18.75" x14ac:dyDescent="0.25">
      <c r="D31" s="198"/>
      <c r="E31" s="198"/>
      <c r="F31" s="51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</row>
    <row r="32" spans="4:38" ht="18.75" x14ac:dyDescent="0.25">
      <c r="D32" s="199"/>
      <c r="E32" s="199"/>
      <c r="F32" s="51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</row>
    <row r="33" spans="4:18" ht="18.75" x14ac:dyDescent="0.25">
      <c r="D33" s="198"/>
      <c r="E33" s="198"/>
      <c r="F33" s="51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</row>
    <row r="34" spans="4:18" ht="18.75" x14ac:dyDescent="0.25">
      <c r="D34" s="199"/>
      <c r="E34" s="199"/>
      <c r="F34" s="51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</row>
    <row r="35" spans="4:18" ht="18.75" x14ac:dyDescent="0.25">
      <c r="D35" s="198"/>
      <c r="E35" s="198"/>
      <c r="F35" s="51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</row>
    <row r="36" spans="4:18" ht="18.75" x14ac:dyDescent="0.25">
      <c r="D36" s="199"/>
      <c r="E36" s="199"/>
      <c r="F36" s="51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</row>
    <row r="37" spans="4:18" ht="18.75" x14ac:dyDescent="0.25">
      <c r="D37" s="198"/>
      <c r="E37" s="198"/>
      <c r="F37" s="51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</row>
    <row r="38" spans="4:18" ht="18.75" x14ac:dyDescent="0.25">
      <c r="D38" s="199"/>
      <c r="E38" s="199"/>
      <c r="F38" s="51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</row>
  </sheetData>
  <mergeCells count="37">
    <mergeCell ref="X12:X13"/>
    <mergeCell ref="D15:D16"/>
    <mergeCell ref="D11:D12"/>
    <mergeCell ref="D13:D14"/>
    <mergeCell ref="H6:N7"/>
    <mergeCell ref="D9:D10"/>
    <mergeCell ref="E9:E10"/>
    <mergeCell ref="E11:E12"/>
    <mergeCell ref="E13:E14"/>
    <mergeCell ref="E15:E16"/>
    <mergeCell ref="AB3:AH4"/>
    <mergeCell ref="X6:X7"/>
    <mergeCell ref="Y6:Y7"/>
    <mergeCell ref="X8:X9"/>
    <mergeCell ref="X10:X11"/>
    <mergeCell ref="E21:E22"/>
    <mergeCell ref="E23:E24"/>
    <mergeCell ref="E25:E26"/>
    <mergeCell ref="D17:D18"/>
    <mergeCell ref="D19:D20"/>
    <mergeCell ref="D21:D22"/>
    <mergeCell ref="E17:E18"/>
    <mergeCell ref="E19:E20"/>
    <mergeCell ref="D25:D26"/>
    <mergeCell ref="D27:D28"/>
    <mergeCell ref="D23:D24"/>
    <mergeCell ref="D29:D30"/>
    <mergeCell ref="E29:E30"/>
    <mergeCell ref="E27:E28"/>
    <mergeCell ref="D31:D32"/>
    <mergeCell ref="E31:E32"/>
    <mergeCell ref="D37:D38"/>
    <mergeCell ref="E37:E38"/>
    <mergeCell ref="D33:D34"/>
    <mergeCell ref="E33:E34"/>
    <mergeCell ref="D35:D36"/>
    <mergeCell ref="E35:E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F94E6-0F7F-4B42-B909-5F95CD9C377E}">
  <dimension ref="B3:BL47"/>
  <sheetViews>
    <sheetView rightToLeft="1" topLeftCell="AP1" workbookViewId="0">
      <selection activeCell="AX8" sqref="AX8:BA15"/>
    </sheetView>
  </sheetViews>
  <sheetFormatPr defaultColWidth="11.42578125" defaultRowHeight="15" x14ac:dyDescent="0.25"/>
  <cols>
    <col min="2" max="2" width="17.42578125" customWidth="1"/>
    <col min="3" max="3" width="23" bestFit="1" customWidth="1"/>
    <col min="4" max="4" width="20.7109375" customWidth="1"/>
    <col min="5" max="5" width="22.7109375" customWidth="1"/>
    <col min="6" max="6" width="14" customWidth="1"/>
    <col min="18" max="18" width="18.28515625" customWidth="1"/>
    <col min="19" max="19" width="24.7109375" bestFit="1" customWidth="1"/>
    <col min="20" max="20" width="20.5703125" customWidth="1"/>
    <col min="21" max="21" width="21.28515625" customWidth="1"/>
    <col min="34" max="34" width="21.7109375" customWidth="1"/>
    <col min="35" max="35" width="24.7109375" bestFit="1" customWidth="1"/>
    <col min="36" max="36" width="21.85546875" customWidth="1"/>
    <col min="37" max="37" width="18.7109375" bestFit="1" customWidth="1"/>
    <col min="50" max="50" width="17.28515625" customWidth="1"/>
    <col min="51" max="51" width="16.140625" customWidth="1"/>
    <col min="52" max="53" width="18.7109375" bestFit="1" customWidth="1"/>
    <col min="54" max="54" width="13.7109375" customWidth="1"/>
    <col min="55" max="55" width="14.42578125" customWidth="1"/>
  </cols>
  <sheetData>
    <row r="3" spans="2:64" ht="15" customHeight="1" x14ac:dyDescent="0.25"/>
    <row r="4" spans="2:64" ht="15" customHeight="1" x14ac:dyDescent="0.25"/>
    <row r="5" spans="2:64" x14ac:dyDescent="0.25">
      <c r="E5" s="227" t="s">
        <v>56</v>
      </c>
      <c r="F5" s="228"/>
      <c r="G5" s="228"/>
      <c r="H5" s="228"/>
      <c r="I5" s="228"/>
      <c r="J5" s="229"/>
      <c r="U5" s="227" t="s">
        <v>57</v>
      </c>
      <c r="V5" s="228"/>
      <c r="W5" s="228"/>
      <c r="X5" s="228"/>
      <c r="Y5" s="228"/>
      <c r="Z5" s="229"/>
      <c r="AK5" s="227" t="s">
        <v>58</v>
      </c>
      <c r="AL5" s="228"/>
      <c r="AM5" s="228"/>
      <c r="AN5" s="228"/>
      <c r="AO5" s="228"/>
      <c r="AP5" s="229"/>
      <c r="BA5" s="221" t="s">
        <v>59</v>
      </c>
      <c r="BB5" s="222"/>
      <c r="BC5" s="222"/>
      <c r="BD5" s="222"/>
      <c r="BE5" s="222"/>
      <c r="BF5" s="223"/>
    </row>
    <row r="6" spans="2:64" x14ac:dyDescent="0.25">
      <c r="E6" s="230"/>
      <c r="F6" s="231"/>
      <c r="G6" s="231"/>
      <c r="H6" s="231"/>
      <c r="I6" s="231"/>
      <c r="J6" s="232"/>
      <c r="U6" s="230"/>
      <c r="V6" s="231"/>
      <c r="W6" s="231"/>
      <c r="X6" s="231"/>
      <c r="Y6" s="231"/>
      <c r="Z6" s="232"/>
      <c r="AK6" s="230"/>
      <c r="AL6" s="231"/>
      <c r="AM6" s="231"/>
      <c r="AN6" s="231"/>
      <c r="AO6" s="231"/>
      <c r="AP6" s="232"/>
      <c r="BA6" s="224"/>
      <c r="BB6" s="225"/>
      <c r="BC6" s="225"/>
      <c r="BD6" s="225"/>
      <c r="BE6" s="225"/>
      <c r="BF6" s="226"/>
    </row>
    <row r="7" spans="2:64" ht="21" x14ac:dyDescent="0.35">
      <c r="B7" s="1" t="s">
        <v>0</v>
      </c>
      <c r="C7" s="1" t="s">
        <v>1</v>
      </c>
      <c r="D7" s="1" t="s">
        <v>2</v>
      </c>
      <c r="E7" s="7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11</v>
      </c>
      <c r="N7" s="1" t="s">
        <v>12</v>
      </c>
      <c r="O7" s="1" t="s">
        <v>13</v>
      </c>
      <c r="P7" s="1" t="s">
        <v>14</v>
      </c>
      <c r="R7" s="1" t="s">
        <v>0</v>
      </c>
      <c r="S7" s="7" t="s">
        <v>1</v>
      </c>
      <c r="T7" s="1" t="s">
        <v>2</v>
      </c>
      <c r="U7" s="7" t="s">
        <v>3</v>
      </c>
      <c r="V7" s="1" t="s">
        <v>4</v>
      </c>
      <c r="W7" s="1" t="s">
        <v>5</v>
      </c>
      <c r="X7" s="1" t="s">
        <v>6</v>
      </c>
      <c r="Y7" s="1" t="s">
        <v>7</v>
      </c>
      <c r="Z7" s="1" t="s">
        <v>8</v>
      </c>
      <c r="AA7" s="1" t="s">
        <v>9</v>
      </c>
      <c r="AB7" s="1" t="s">
        <v>10</v>
      </c>
      <c r="AC7" s="1" t="s">
        <v>11</v>
      </c>
      <c r="AD7" s="1" t="s">
        <v>12</v>
      </c>
      <c r="AE7" s="1" t="s">
        <v>13</v>
      </c>
      <c r="AF7" s="1" t="s">
        <v>14</v>
      </c>
      <c r="AH7" s="1" t="s">
        <v>0</v>
      </c>
      <c r="AI7" s="1" t="s">
        <v>1</v>
      </c>
      <c r="AJ7" s="1" t="s">
        <v>2</v>
      </c>
      <c r="AK7" s="1" t="s">
        <v>3</v>
      </c>
      <c r="AL7" s="1" t="s">
        <v>4</v>
      </c>
      <c r="AM7" s="1" t="s">
        <v>5</v>
      </c>
      <c r="AN7" s="1" t="s">
        <v>6</v>
      </c>
      <c r="AO7" s="1" t="s">
        <v>7</v>
      </c>
      <c r="AP7" s="1" t="s">
        <v>8</v>
      </c>
      <c r="AQ7" s="1" t="s">
        <v>9</v>
      </c>
      <c r="AR7" s="1" t="s">
        <v>10</v>
      </c>
      <c r="AS7" s="1" t="s">
        <v>11</v>
      </c>
      <c r="AT7" s="1" t="s">
        <v>12</v>
      </c>
      <c r="AU7" s="1" t="s">
        <v>13</v>
      </c>
      <c r="AV7" s="1" t="s">
        <v>14</v>
      </c>
      <c r="AX7" s="1" t="s">
        <v>0</v>
      </c>
      <c r="AY7" s="1" t="s">
        <v>1</v>
      </c>
      <c r="AZ7" s="1" t="s">
        <v>2</v>
      </c>
      <c r="BA7" s="7" t="s">
        <v>3</v>
      </c>
      <c r="BB7" s="7" t="s">
        <v>4</v>
      </c>
      <c r="BC7" s="1" t="s">
        <v>5</v>
      </c>
      <c r="BD7" s="1" t="s">
        <v>6</v>
      </c>
      <c r="BE7" s="1" t="s">
        <v>7</v>
      </c>
      <c r="BF7" s="1" t="s">
        <v>8</v>
      </c>
      <c r="BG7" s="1" t="s">
        <v>9</v>
      </c>
      <c r="BH7" s="1" t="s">
        <v>10</v>
      </c>
      <c r="BI7" s="1" t="s">
        <v>11</v>
      </c>
      <c r="BJ7" s="1" t="s">
        <v>12</v>
      </c>
      <c r="BK7" s="1" t="s">
        <v>13</v>
      </c>
      <c r="BL7" s="1" t="s">
        <v>14</v>
      </c>
    </row>
    <row r="8" spans="2:64" x14ac:dyDescent="0.25">
      <c r="B8" s="98" t="s">
        <v>60</v>
      </c>
      <c r="C8" s="98" t="s">
        <v>61</v>
      </c>
      <c r="D8" s="47" t="s">
        <v>517</v>
      </c>
      <c r="E8" s="2">
        <v>1200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98" t="s">
        <v>60</v>
      </c>
      <c r="S8" s="98" t="s">
        <v>61</v>
      </c>
      <c r="T8" s="2">
        <v>250</v>
      </c>
      <c r="U8" s="2">
        <v>1200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H8" s="98" t="s">
        <v>60</v>
      </c>
      <c r="AI8" s="98" t="s">
        <v>61</v>
      </c>
      <c r="AJ8" s="2">
        <v>250</v>
      </c>
      <c r="AK8" s="2">
        <v>1200</v>
      </c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X8" s="98" t="s">
        <v>60</v>
      </c>
      <c r="AY8" s="98" t="s">
        <v>61</v>
      </c>
      <c r="AZ8" s="2">
        <v>250</v>
      </c>
      <c r="BA8" s="2">
        <v>1200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</row>
    <row r="9" spans="2:64" x14ac:dyDescent="0.25">
      <c r="B9" s="99"/>
      <c r="C9" s="99"/>
      <c r="D9" s="47" t="s">
        <v>62</v>
      </c>
      <c r="E9" s="2" t="s">
        <v>62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99"/>
      <c r="S9" s="99"/>
      <c r="T9" s="2" t="s">
        <v>62</v>
      </c>
      <c r="U9" s="2" t="s">
        <v>62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H9" s="99"/>
      <c r="AI9" s="99"/>
      <c r="AJ9" s="2" t="s">
        <v>62</v>
      </c>
      <c r="AK9" s="2" t="s">
        <v>62</v>
      </c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X9" s="99"/>
      <c r="AY9" s="99"/>
      <c r="AZ9" s="2" t="s">
        <v>62</v>
      </c>
      <c r="BA9" s="2" t="s">
        <v>62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</row>
    <row r="10" spans="2:64" x14ac:dyDescent="0.25">
      <c r="B10" s="98" t="s">
        <v>184</v>
      </c>
      <c r="C10" s="98" t="s">
        <v>1055</v>
      </c>
      <c r="D10" s="2">
        <v>250</v>
      </c>
      <c r="E10" s="2">
        <v>1200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98" t="s">
        <v>184</v>
      </c>
      <c r="S10" s="98" t="s">
        <v>185</v>
      </c>
      <c r="T10" s="2">
        <v>250</v>
      </c>
      <c r="U10" s="2">
        <v>1200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H10" s="98" t="s">
        <v>220</v>
      </c>
      <c r="AI10" s="98"/>
      <c r="AJ10" s="2">
        <v>250</v>
      </c>
      <c r="AK10" s="2">
        <v>1200</v>
      </c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X10" s="98" t="s">
        <v>581</v>
      </c>
      <c r="AY10" s="98" t="s">
        <v>185</v>
      </c>
      <c r="AZ10" s="2">
        <v>250</v>
      </c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</row>
    <row r="11" spans="2:64" x14ac:dyDescent="0.25">
      <c r="B11" s="99"/>
      <c r="C11" s="99"/>
      <c r="D11" s="2" t="s">
        <v>580</v>
      </c>
      <c r="E11" s="2" t="s">
        <v>598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99"/>
      <c r="S11" s="99"/>
      <c r="T11" s="2" t="s">
        <v>579</v>
      </c>
      <c r="U11" s="2" t="s">
        <v>598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H11" s="99"/>
      <c r="AI11" s="99"/>
      <c r="AJ11" s="2" t="s">
        <v>593</v>
      </c>
      <c r="AK11" s="2" t="s">
        <v>593</v>
      </c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X11" s="99"/>
      <c r="AY11" s="99"/>
      <c r="AZ11" s="2" t="s">
        <v>580</v>
      </c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</row>
    <row r="12" spans="2:64" x14ac:dyDescent="0.25">
      <c r="B12" s="98" t="s">
        <v>582</v>
      </c>
      <c r="C12" s="98"/>
      <c r="D12" s="2">
        <v>250</v>
      </c>
      <c r="E12" s="2">
        <v>1200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98" t="s">
        <v>582</v>
      </c>
      <c r="S12" s="98" t="s">
        <v>1049</v>
      </c>
      <c r="T12" s="2">
        <v>250</v>
      </c>
      <c r="U12" s="2">
        <v>1200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H12" s="98" t="s">
        <v>865</v>
      </c>
      <c r="AI12" s="98" t="s">
        <v>866</v>
      </c>
      <c r="AJ12" s="2">
        <v>250</v>
      </c>
      <c r="AK12" s="2">
        <v>1200</v>
      </c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X12" s="98" t="s">
        <v>220</v>
      </c>
      <c r="AY12" s="98"/>
      <c r="AZ12" s="47" t="s">
        <v>595</v>
      </c>
      <c r="BA12" s="2">
        <v>1200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</row>
    <row r="13" spans="2:64" x14ac:dyDescent="0.25">
      <c r="B13" s="99"/>
      <c r="C13" s="99"/>
      <c r="D13" s="2" t="s">
        <v>583</v>
      </c>
      <c r="E13" s="2" t="s">
        <v>583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99"/>
      <c r="S13" s="99"/>
      <c r="T13" s="2" t="s">
        <v>583</v>
      </c>
      <c r="U13" s="2" t="s">
        <v>583</v>
      </c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H13" s="99"/>
      <c r="AI13" s="99"/>
      <c r="AJ13" s="2" t="s">
        <v>867</v>
      </c>
      <c r="AK13" s="2" t="s">
        <v>867</v>
      </c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X13" s="99"/>
      <c r="AY13" s="99"/>
      <c r="AZ13" s="47" t="s">
        <v>594</v>
      </c>
      <c r="BA13" s="2" t="s">
        <v>594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</row>
    <row r="14" spans="2:64" x14ac:dyDescent="0.25">
      <c r="B14" s="98" t="s">
        <v>584</v>
      </c>
      <c r="C14" s="98"/>
      <c r="D14" s="2">
        <v>250</v>
      </c>
      <c r="E14" s="2">
        <v>1200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98" t="s">
        <v>584</v>
      </c>
      <c r="S14" s="98"/>
      <c r="T14" s="2">
        <v>250</v>
      </c>
      <c r="U14" s="2">
        <v>1200</v>
      </c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H14" s="98" t="s">
        <v>868</v>
      </c>
      <c r="AI14" s="98"/>
      <c r="AJ14" s="2">
        <v>250</v>
      </c>
      <c r="AK14" s="2">
        <v>1200</v>
      </c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X14" s="98" t="s">
        <v>788</v>
      </c>
      <c r="AY14" s="98"/>
      <c r="AZ14" s="32">
        <v>250</v>
      </c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</row>
    <row r="15" spans="2:64" x14ac:dyDescent="0.25">
      <c r="B15" s="99"/>
      <c r="C15" s="99"/>
      <c r="D15" s="2" t="s">
        <v>585</v>
      </c>
      <c r="E15" s="2" t="s">
        <v>585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99"/>
      <c r="S15" s="99"/>
      <c r="T15" s="2" t="s">
        <v>585</v>
      </c>
      <c r="U15" s="2" t="s">
        <v>585</v>
      </c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H15" s="99"/>
      <c r="AI15" s="99"/>
      <c r="AJ15" s="2" t="s">
        <v>869</v>
      </c>
      <c r="AK15" s="2" t="s">
        <v>869</v>
      </c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X15" s="99"/>
      <c r="AY15" s="99"/>
      <c r="AZ15" s="32" t="s">
        <v>789</v>
      </c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</row>
    <row r="16" spans="2:64" x14ac:dyDescent="0.25">
      <c r="B16" s="98" t="s">
        <v>586</v>
      </c>
      <c r="C16" s="98"/>
      <c r="D16" s="2">
        <v>250</v>
      </c>
      <c r="E16" s="2">
        <v>1200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98" t="s">
        <v>586</v>
      </c>
      <c r="S16" s="98" t="s">
        <v>1050</v>
      </c>
      <c r="T16" s="2">
        <v>250</v>
      </c>
      <c r="U16" s="2">
        <v>1200</v>
      </c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H16" s="98"/>
      <c r="AI16" s="98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X16" s="98"/>
      <c r="AY16" s="98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</row>
    <row r="17" spans="2:64" x14ac:dyDescent="0.25">
      <c r="B17" s="99"/>
      <c r="C17" s="99"/>
      <c r="D17" s="2" t="s">
        <v>587</v>
      </c>
      <c r="E17" s="2" t="s">
        <v>587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99"/>
      <c r="S17" s="99"/>
      <c r="T17" s="2" t="s">
        <v>587</v>
      </c>
      <c r="U17" s="2" t="s">
        <v>587</v>
      </c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H17" s="99"/>
      <c r="AI17" s="99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X17" s="99"/>
      <c r="AY17" s="99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</row>
    <row r="18" spans="2:64" x14ac:dyDescent="0.25">
      <c r="B18" s="98" t="s">
        <v>588</v>
      </c>
      <c r="C18" s="98" t="s">
        <v>590</v>
      </c>
      <c r="D18" s="2">
        <v>250</v>
      </c>
      <c r="E18" s="2">
        <v>1200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98" t="s">
        <v>588</v>
      </c>
      <c r="S18" s="98" t="s">
        <v>590</v>
      </c>
      <c r="T18" s="2">
        <v>250</v>
      </c>
      <c r="U18" s="2">
        <v>1200</v>
      </c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H18" s="98"/>
      <c r="AI18" s="98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X18" s="98"/>
      <c r="AY18" s="98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</row>
    <row r="19" spans="2:64" x14ac:dyDescent="0.25">
      <c r="B19" s="99"/>
      <c r="C19" s="99"/>
      <c r="D19" s="2" t="s">
        <v>589</v>
      </c>
      <c r="E19" s="2" t="s">
        <v>589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99"/>
      <c r="S19" s="99"/>
      <c r="T19" s="2" t="s">
        <v>589</v>
      </c>
      <c r="U19" s="2" t="s">
        <v>589</v>
      </c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H19" s="99"/>
      <c r="AI19" s="99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X19" s="99"/>
      <c r="AY19" s="99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</row>
    <row r="20" spans="2:64" x14ac:dyDescent="0.25">
      <c r="B20" s="98" t="s">
        <v>219</v>
      </c>
      <c r="C20" s="98"/>
      <c r="D20" s="2">
        <v>250</v>
      </c>
      <c r="E20" s="2">
        <v>1200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98" t="s">
        <v>219</v>
      </c>
      <c r="S20" s="98"/>
      <c r="T20" s="2">
        <v>250</v>
      </c>
      <c r="U20" s="2">
        <v>1200</v>
      </c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H20" s="98"/>
      <c r="AI20" s="98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X20" s="98"/>
      <c r="AY20" s="98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</row>
    <row r="21" spans="2:64" x14ac:dyDescent="0.25">
      <c r="B21" s="99"/>
      <c r="C21" s="99"/>
      <c r="D21" s="2" t="s">
        <v>591</v>
      </c>
      <c r="E21" s="2" t="s">
        <v>591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99"/>
      <c r="S21" s="99"/>
      <c r="T21" s="2" t="s">
        <v>591</v>
      </c>
      <c r="U21" s="2" t="s">
        <v>591</v>
      </c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H21" s="99"/>
      <c r="AI21" s="99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X21" s="99"/>
      <c r="AY21" s="99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</row>
    <row r="22" spans="2:64" x14ac:dyDescent="0.25">
      <c r="B22" s="98" t="s">
        <v>220</v>
      </c>
      <c r="C22" s="98"/>
      <c r="D22" s="2">
        <v>250</v>
      </c>
      <c r="E22" s="2">
        <v>1200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98" t="s">
        <v>220</v>
      </c>
      <c r="S22" s="98"/>
      <c r="T22" s="2">
        <v>250</v>
      </c>
      <c r="U22" s="2">
        <v>1200</v>
      </c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H22" s="98"/>
      <c r="AI22" s="98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X22" s="98"/>
      <c r="AY22" s="98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</row>
    <row r="23" spans="2:64" x14ac:dyDescent="0.25">
      <c r="B23" s="99"/>
      <c r="C23" s="99"/>
      <c r="D23" s="2" t="s">
        <v>592</v>
      </c>
      <c r="E23" s="2" t="s">
        <v>592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99"/>
      <c r="S23" s="99"/>
      <c r="T23" s="2" t="s">
        <v>592</v>
      </c>
      <c r="U23" s="2" t="s">
        <v>592</v>
      </c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H23" s="99"/>
      <c r="AI23" s="99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X23" s="99"/>
      <c r="AY23" s="99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</row>
    <row r="24" spans="2:64" x14ac:dyDescent="0.25">
      <c r="B24" s="98" t="s">
        <v>192</v>
      </c>
      <c r="C24" s="98"/>
      <c r="D24" s="2">
        <v>250</v>
      </c>
      <c r="E24" s="2">
        <v>1200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98" t="s">
        <v>192</v>
      </c>
      <c r="S24" s="98"/>
      <c r="T24" s="2">
        <v>250</v>
      </c>
      <c r="U24" s="2">
        <v>1200</v>
      </c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H24" s="98"/>
      <c r="AI24" s="98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X24" s="98"/>
      <c r="AY24" s="98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</row>
    <row r="25" spans="2:64" x14ac:dyDescent="0.25">
      <c r="B25" s="99"/>
      <c r="C25" s="99"/>
      <c r="D25" s="2" t="s">
        <v>596</v>
      </c>
      <c r="E25" s="2" t="s">
        <v>596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99"/>
      <c r="S25" s="99"/>
      <c r="T25" s="2" t="s">
        <v>597</v>
      </c>
      <c r="U25" s="2" t="s">
        <v>597</v>
      </c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H25" s="99"/>
      <c r="AI25" s="99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X25" s="99"/>
      <c r="AY25" s="99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</row>
    <row r="26" spans="2:64" x14ac:dyDescent="0.25">
      <c r="B26" s="98" t="s">
        <v>599</v>
      </c>
      <c r="C26" s="98"/>
      <c r="D26" s="2">
        <v>250</v>
      </c>
      <c r="E26" s="2">
        <v>1200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98" t="s">
        <v>599</v>
      </c>
      <c r="S26" s="98" t="s">
        <v>1051</v>
      </c>
      <c r="T26" s="2">
        <v>250</v>
      </c>
      <c r="U26" s="2">
        <v>1200</v>
      </c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H26" s="98"/>
      <c r="AI26" s="98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X26" s="98"/>
      <c r="AY26" s="98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</row>
    <row r="27" spans="2:64" x14ac:dyDescent="0.25">
      <c r="B27" s="99"/>
      <c r="C27" s="99"/>
      <c r="D27" s="2" t="s">
        <v>600</v>
      </c>
      <c r="E27" s="2" t="s">
        <v>600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99"/>
      <c r="S27" s="99"/>
      <c r="T27" s="2" t="s">
        <v>601</v>
      </c>
      <c r="U27" s="2" t="s">
        <v>601</v>
      </c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H27" s="99"/>
      <c r="AI27" s="99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X27" s="99"/>
      <c r="AY27" s="99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</row>
    <row r="28" spans="2:64" x14ac:dyDescent="0.25">
      <c r="B28" s="98" t="s">
        <v>602</v>
      </c>
      <c r="C28" s="98" t="s">
        <v>603</v>
      </c>
      <c r="D28" s="2">
        <v>250</v>
      </c>
      <c r="E28" s="2">
        <v>1200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98" t="s">
        <v>602</v>
      </c>
      <c r="S28" s="98" t="s">
        <v>603</v>
      </c>
      <c r="T28" s="2">
        <v>250</v>
      </c>
      <c r="U28" s="2">
        <v>1200</v>
      </c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H28" s="98"/>
      <c r="AI28" s="98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X28" s="98"/>
      <c r="AY28" s="98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</row>
    <row r="29" spans="2:64" x14ac:dyDescent="0.25">
      <c r="B29" s="99"/>
      <c r="C29" s="99"/>
      <c r="D29" s="2" t="s">
        <v>604</v>
      </c>
      <c r="E29" s="2" t="s">
        <v>604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99"/>
      <c r="S29" s="99"/>
      <c r="T29" s="2" t="s">
        <v>605</v>
      </c>
      <c r="U29" s="2" t="s">
        <v>605</v>
      </c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H29" s="99"/>
      <c r="AI29" s="99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X29" s="99"/>
      <c r="AY29" s="99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</row>
    <row r="30" spans="2:64" x14ac:dyDescent="0.25">
      <c r="B30" s="98" t="s">
        <v>198</v>
      </c>
      <c r="C30" s="98"/>
      <c r="D30" s="2"/>
      <c r="E30" s="2">
        <v>1200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98" t="s">
        <v>198</v>
      </c>
      <c r="S30" s="98"/>
      <c r="T30" s="2"/>
      <c r="U30" s="2">
        <v>1200</v>
      </c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H30" s="98"/>
      <c r="AI30" s="98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X30" s="98"/>
      <c r="AY30" s="98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</row>
    <row r="31" spans="2:64" x14ac:dyDescent="0.25">
      <c r="B31" s="99"/>
      <c r="C31" s="99"/>
      <c r="D31" s="2"/>
      <c r="E31" s="2" t="s">
        <v>632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99"/>
      <c r="S31" s="99"/>
      <c r="T31" s="2"/>
      <c r="U31" s="2" t="s">
        <v>632</v>
      </c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H31" s="99"/>
      <c r="AI31" s="99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X31" s="99"/>
      <c r="AY31" s="99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</row>
    <row r="32" spans="2:64" x14ac:dyDescent="0.25">
      <c r="B32" s="98" t="s">
        <v>785</v>
      </c>
      <c r="C32" s="98"/>
      <c r="D32" s="2">
        <v>250</v>
      </c>
      <c r="E32" s="2">
        <v>1200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98" t="s">
        <v>785</v>
      </c>
      <c r="S32" s="98" t="s">
        <v>1052</v>
      </c>
      <c r="T32" s="2">
        <v>250</v>
      </c>
      <c r="U32" s="2">
        <v>1200</v>
      </c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H32" s="98"/>
      <c r="AI32" s="98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X32" s="98"/>
      <c r="AY32" s="98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</row>
    <row r="33" spans="2:64" x14ac:dyDescent="0.25">
      <c r="B33" s="99"/>
      <c r="C33" s="99"/>
      <c r="D33" s="2" t="s">
        <v>783</v>
      </c>
      <c r="E33" s="2" t="s">
        <v>783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99"/>
      <c r="S33" s="99"/>
      <c r="T33" s="2" t="s">
        <v>784</v>
      </c>
      <c r="U33" s="2" t="s">
        <v>784</v>
      </c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H33" s="99"/>
      <c r="AI33" s="99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X33" s="99"/>
      <c r="AY33" s="99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</row>
    <row r="34" spans="2:64" x14ac:dyDescent="0.25">
      <c r="B34" s="98" t="s">
        <v>786</v>
      </c>
      <c r="C34" s="98"/>
      <c r="D34" s="2">
        <v>250</v>
      </c>
      <c r="E34" s="2">
        <v>1200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98" t="s">
        <v>786</v>
      </c>
      <c r="S34" s="98" t="s">
        <v>1053</v>
      </c>
      <c r="T34" s="2">
        <v>250</v>
      </c>
      <c r="U34" s="2">
        <v>1200</v>
      </c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H34" s="98"/>
      <c r="AI34" s="98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X34" s="98"/>
      <c r="AY34" s="98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</row>
    <row r="35" spans="2:64" x14ac:dyDescent="0.25">
      <c r="B35" s="99"/>
      <c r="C35" s="99"/>
      <c r="D35" s="2" t="s">
        <v>787</v>
      </c>
      <c r="E35" s="2" t="s">
        <v>787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99"/>
      <c r="S35" s="99"/>
      <c r="T35" s="2" t="s">
        <v>787</v>
      </c>
      <c r="U35" s="2" t="s">
        <v>787</v>
      </c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H35" s="99"/>
      <c r="AI35" s="99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X35" s="99"/>
      <c r="AY35" s="99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</row>
    <row r="36" spans="2:64" x14ac:dyDescent="0.25">
      <c r="B36" s="98" t="s">
        <v>924</v>
      </c>
      <c r="C36" s="98"/>
      <c r="D36" s="32">
        <v>250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98" t="s">
        <v>924</v>
      </c>
      <c r="S36" s="98" t="s">
        <v>1054</v>
      </c>
      <c r="T36" s="32">
        <v>250</v>
      </c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H36" s="98"/>
      <c r="AI36" s="98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X36" s="98"/>
      <c r="AY36" s="98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</row>
    <row r="37" spans="2:64" x14ac:dyDescent="0.25">
      <c r="B37" s="99"/>
      <c r="C37" s="99"/>
      <c r="D37" s="32" t="s">
        <v>789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99"/>
      <c r="S37" s="99"/>
      <c r="T37" s="32" t="s">
        <v>789</v>
      </c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H37" s="99"/>
      <c r="AI37" s="99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X37" s="99"/>
      <c r="AY37" s="99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</row>
    <row r="38" spans="2:64" x14ac:dyDescent="0.25">
      <c r="B38" s="98"/>
      <c r="C38" s="98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98"/>
      <c r="S38" s="98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H38" s="98"/>
      <c r="AI38" s="98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X38" s="98"/>
      <c r="AY38" s="98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</row>
    <row r="39" spans="2:64" x14ac:dyDescent="0.25">
      <c r="B39" s="99"/>
      <c r="C39" s="99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99"/>
      <c r="S39" s="99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H39" s="99"/>
      <c r="AI39" s="99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X39" s="99"/>
      <c r="AY39" s="99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</row>
    <row r="40" spans="2:64" x14ac:dyDescent="0.25">
      <c r="B40" s="98"/>
      <c r="C40" s="98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98"/>
      <c r="S40" s="98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H40" s="98"/>
      <c r="AI40" s="98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X40" s="98"/>
      <c r="AY40" s="98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</row>
    <row r="41" spans="2:64" x14ac:dyDescent="0.25">
      <c r="B41" s="99"/>
      <c r="C41" s="99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99"/>
      <c r="S41" s="99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H41" s="99"/>
      <c r="AI41" s="99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X41" s="99"/>
      <c r="AY41" s="99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</row>
    <row r="42" spans="2:64" x14ac:dyDescent="0.25">
      <c r="B42" s="98"/>
      <c r="C42" s="98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98"/>
      <c r="S42" s="98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H42" s="98"/>
      <c r="AI42" s="98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X42" s="98"/>
      <c r="AY42" s="98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</row>
    <row r="43" spans="2:64" x14ac:dyDescent="0.25">
      <c r="B43" s="99"/>
      <c r="C43" s="99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99"/>
      <c r="S43" s="99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H43" s="99"/>
      <c r="AI43" s="99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X43" s="99"/>
      <c r="AY43" s="99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</row>
    <row r="44" spans="2:64" x14ac:dyDescent="0.25">
      <c r="B44" s="98"/>
      <c r="C44" s="98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98"/>
      <c r="S44" s="98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H44" s="98"/>
      <c r="AI44" s="98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X44" s="98"/>
      <c r="AY44" s="98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</row>
    <row r="45" spans="2:64" x14ac:dyDescent="0.25">
      <c r="B45" s="99"/>
      <c r="C45" s="99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99"/>
      <c r="S45" s="99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H45" s="99"/>
      <c r="AI45" s="99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X45" s="99"/>
      <c r="AY45" s="99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</row>
    <row r="46" spans="2:64" x14ac:dyDescent="0.25">
      <c r="B46" s="98"/>
      <c r="C46" s="98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98"/>
      <c r="S46" s="98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H46" s="98"/>
      <c r="AI46" s="98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X46" s="98"/>
      <c r="AY46" s="98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</row>
    <row r="47" spans="2:64" x14ac:dyDescent="0.25">
      <c r="B47" s="99"/>
      <c r="C47" s="99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R47" s="99"/>
      <c r="S47" s="99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H47" s="99"/>
      <c r="AI47" s="99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X47" s="99"/>
      <c r="AY47" s="99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</row>
  </sheetData>
  <mergeCells count="164">
    <mergeCell ref="B14:B15"/>
    <mergeCell ref="C14:C15"/>
    <mergeCell ref="B16:B17"/>
    <mergeCell ref="C16:C17"/>
    <mergeCell ref="B18:B19"/>
    <mergeCell ref="C18:C19"/>
    <mergeCell ref="E5:J6"/>
    <mergeCell ref="B8:B9"/>
    <mergeCell ref="C8:C9"/>
    <mergeCell ref="B10:B11"/>
    <mergeCell ref="C10:C11"/>
    <mergeCell ref="B12:B13"/>
    <mergeCell ref="C12:C13"/>
    <mergeCell ref="B28:B29"/>
    <mergeCell ref="C28:C29"/>
    <mergeCell ref="B30:B31"/>
    <mergeCell ref="C30:C31"/>
    <mergeCell ref="B20:B21"/>
    <mergeCell ref="C20:C21"/>
    <mergeCell ref="B22:B23"/>
    <mergeCell ref="C22:C23"/>
    <mergeCell ref="B24:B25"/>
    <mergeCell ref="C24:C25"/>
    <mergeCell ref="B44:B45"/>
    <mergeCell ref="C44:C45"/>
    <mergeCell ref="B46:B47"/>
    <mergeCell ref="C46:C47"/>
    <mergeCell ref="U5:Z6"/>
    <mergeCell ref="R8:R9"/>
    <mergeCell ref="S8:S9"/>
    <mergeCell ref="R10:R11"/>
    <mergeCell ref="S10:S11"/>
    <mergeCell ref="R12:R13"/>
    <mergeCell ref="B38:B39"/>
    <mergeCell ref="C38:C39"/>
    <mergeCell ref="B40:B41"/>
    <mergeCell ref="C40:C41"/>
    <mergeCell ref="B42:B43"/>
    <mergeCell ref="C42:C43"/>
    <mergeCell ref="B32:B33"/>
    <mergeCell ref="C32:C33"/>
    <mergeCell ref="B34:B35"/>
    <mergeCell ref="C34:C35"/>
    <mergeCell ref="B36:B37"/>
    <mergeCell ref="C36:C37"/>
    <mergeCell ref="B26:B27"/>
    <mergeCell ref="C26:C27"/>
    <mergeCell ref="R46:R47"/>
    <mergeCell ref="S46:S47"/>
    <mergeCell ref="AK5:AP6"/>
    <mergeCell ref="AH8:AH9"/>
    <mergeCell ref="AI8:AI9"/>
    <mergeCell ref="AH10:AH11"/>
    <mergeCell ref="AI10:AI11"/>
    <mergeCell ref="AH12:AH13"/>
    <mergeCell ref="R38:R39"/>
    <mergeCell ref="S38:S39"/>
    <mergeCell ref="R40:R41"/>
    <mergeCell ref="S40:S41"/>
    <mergeCell ref="R42:R43"/>
    <mergeCell ref="S42:S43"/>
    <mergeCell ref="R32:R33"/>
    <mergeCell ref="S32:S33"/>
    <mergeCell ref="R34:R35"/>
    <mergeCell ref="S34:S35"/>
    <mergeCell ref="R36:R37"/>
    <mergeCell ref="S36:S37"/>
    <mergeCell ref="R26:R27"/>
    <mergeCell ref="S26:S27"/>
    <mergeCell ref="R28:R29"/>
    <mergeCell ref="S28:S29"/>
    <mergeCell ref="AI12:AI13"/>
    <mergeCell ref="AH14:AH15"/>
    <mergeCell ref="AI14:AI15"/>
    <mergeCell ref="AH16:AH17"/>
    <mergeCell ref="AI16:AI17"/>
    <mergeCell ref="AH18:AH19"/>
    <mergeCell ref="AI18:AI19"/>
    <mergeCell ref="R44:R45"/>
    <mergeCell ref="S44:S45"/>
    <mergeCell ref="R30:R31"/>
    <mergeCell ref="S30:S31"/>
    <mergeCell ref="R20:R21"/>
    <mergeCell ref="S20:S21"/>
    <mergeCell ref="R22:R23"/>
    <mergeCell ref="S22:S23"/>
    <mergeCell ref="R24:R25"/>
    <mergeCell ref="S24:S25"/>
    <mergeCell ref="S12:S13"/>
    <mergeCell ref="R14:R15"/>
    <mergeCell ref="S14:S15"/>
    <mergeCell ref="R16:R17"/>
    <mergeCell ref="S16:S17"/>
    <mergeCell ref="R18:R19"/>
    <mergeCell ref="S18:S19"/>
    <mergeCell ref="AH28:AH29"/>
    <mergeCell ref="AI28:AI29"/>
    <mergeCell ref="AH30:AH31"/>
    <mergeCell ref="AI30:AI31"/>
    <mergeCell ref="AH20:AH21"/>
    <mergeCell ref="AI20:AI21"/>
    <mergeCell ref="AH22:AH23"/>
    <mergeCell ref="AI22:AI23"/>
    <mergeCell ref="AH24:AH25"/>
    <mergeCell ref="AI24:AI25"/>
    <mergeCell ref="AH44:AH45"/>
    <mergeCell ref="AI44:AI45"/>
    <mergeCell ref="AH46:AH47"/>
    <mergeCell ref="AI46:AI47"/>
    <mergeCell ref="BA5:BF6"/>
    <mergeCell ref="AX8:AX9"/>
    <mergeCell ref="AY8:AY9"/>
    <mergeCell ref="AX10:AX11"/>
    <mergeCell ref="AY10:AY11"/>
    <mergeCell ref="AX12:AX13"/>
    <mergeCell ref="AH38:AH39"/>
    <mergeCell ref="AI38:AI39"/>
    <mergeCell ref="AH40:AH41"/>
    <mergeCell ref="AI40:AI41"/>
    <mergeCell ref="AH42:AH43"/>
    <mergeCell ref="AI42:AI43"/>
    <mergeCell ref="AH32:AH33"/>
    <mergeCell ref="AI32:AI33"/>
    <mergeCell ref="AH34:AH35"/>
    <mergeCell ref="AI34:AI35"/>
    <mergeCell ref="AH36:AH37"/>
    <mergeCell ref="AI36:AI37"/>
    <mergeCell ref="AH26:AH27"/>
    <mergeCell ref="AI26:AI27"/>
    <mergeCell ref="AX20:AX21"/>
    <mergeCell ref="AY20:AY21"/>
    <mergeCell ref="AX22:AX23"/>
    <mergeCell ref="AY22:AY23"/>
    <mergeCell ref="AX24:AX25"/>
    <mergeCell ref="AY24:AY25"/>
    <mergeCell ref="AY12:AY13"/>
    <mergeCell ref="AX14:AX15"/>
    <mergeCell ref="AY14:AY15"/>
    <mergeCell ref="AX16:AX17"/>
    <mergeCell ref="AY16:AY17"/>
    <mergeCell ref="AX18:AX19"/>
    <mergeCell ref="AY18:AY19"/>
    <mergeCell ref="AX32:AX33"/>
    <mergeCell ref="AY32:AY33"/>
    <mergeCell ref="AX34:AX35"/>
    <mergeCell ref="AY34:AY35"/>
    <mergeCell ref="AX36:AX37"/>
    <mergeCell ref="AY36:AY37"/>
    <mergeCell ref="AX26:AX27"/>
    <mergeCell ref="AY26:AY27"/>
    <mergeCell ref="AX28:AX29"/>
    <mergeCell ref="AY28:AY29"/>
    <mergeCell ref="AX30:AX31"/>
    <mergeCell ref="AY30:AY31"/>
    <mergeCell ref="AX44:AX45"/>
    <mergeCell ref="AY44:AY45"/>
    <mergeCell ref="AX46:AX47"/>
    <mergeCell ref="AY46:AY47"/>
    <mergeCell ref="AX38:AX39"/>
    <mergeCell ref="AY38:AY39"/>
    <mergeCell ref="AX40:AX41"/>
    <mergeCell ref="AY40:AY41"/>
    <mergeCell ref="AX42:AX43"/>
    <mergeCell ref="AY42:AY43"/>
  </mergeCells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75BA3-EAC1-4B0A-9DBD-7FDF18F3F058}">
  <dimension ref="D4:AL48"/>
  <sheetViews>
    <sheetView rightToLeft="1" tabSelected="1" topLeftCell="Q1" workbookViewId="0">
      <selection activeCell="X7" sqref="X7:AA10"/>
    </sheetView>
  </sheetViews>
  <sheetFormatPr defaultColWidth="11.42578125" defaultRowHeight="15" x14ac:dyDescent="0.25"/>
  <cols>
    <col min="4" max="4" width="21.5703125" customWidth="1"/>
    <col min="5" max="5" width="21.140625" customWidth="1"/>
    <col min="6" max="6" width="22.5703125" customWidth="1"/>
    <col min="7" max="7" width="18.28515625" bestFit="1" customWidth="1"/>
    <col min="8" max="8" width="15.28515625" customWidth="1"/>
    <col min="9" max="9" width="13.85546875" customWidth="1"/>
    <col min="24" max="24" width="20" customWidth="1"/>
    <col min="25" max="25" width="21.28515625" customWidth="1"/>
    <col min="26" max="26" width="19.7109375" customWidth="1"/>
    <col min="27" max="27" width="18.28515625" bestFit="1" customWidth="1"/>
    <col min="28" max="28" width="16.28515625" customWidth="1"/>
    <col min="29" max="29" width="13.85546875" customWidth="1"/>
    <col min="30" max="30" width="13" customWidth="1"/>
    <col min="31" max="31" width="14.7109375" customWidth="1"/>
  </cols>
  <sheetData>
    <row r="4" spans="4:38" x14ac:dyDescent="0.25">
      <c r="AA4" s="227" t="s">
        <v>56</v>
      </c>
      <c r="AB4" s="228"/>
      <c r="AC4" s="228"/>
      <c r="AD4" s="228"/>
      <c r="AE4" s="228"/>
      <c r="AF4" s="229"/>
    </row>
    <row r="5" spans="4:38" x14ac:dyDescent="0.25">
      <c r="AA5" s="230"/>
      <c r="AB5" s="231"/>
      <c r="AC5" s="231"/>
      <c r="AD5" s="231"/>
      <c r="AE5" s="231"/>
      <c r="AF5" s="232"/>
    </row>
    <row r="6" spans="4:38" ht="21" customHeight="1" x14ac:dyDescent="0.25">
      <c r="D6" s="9"/>
      <c r="E6" s="9"/>
      <c r="F6" s="9"/>
      <c r="G6" s="221" t="s">
        <v>57</v>
      </c>
      <c r="H6" s="222"/>
      <c r="I6" s="222"/>
      <c r="J6" s="222"/>
      <c r="K6" s="222"/>
      <c r="L6" s="223"/>
      <c r="M6" s="9"/>
      <c r="N6" s="9"/>
      <c r="O6" s="9"/>
      <c r="P6" s="9"/>
      <c r="Q6" s="9"/>
      <c r="R6" s="9"/>
      <c r="X6" s="7" t="s">
        <v>0</v>
      </c>
      <c r="Y6" s="7" t="s">
        <v>1</v>
      </c>
      <c r="Z6" s="7" t="s">
        <v>2</v>
      </c>
      <c r="AA6" s="7" t="s">
        <v>3</v>
      </c>
      <c r="AB6" s="7" t="s">
        <v>4</v>
      </c>
      <c r="AC6" s="7" t="s">
        <v>5</v>
      </c>
      <c r="AD6" s="7" t="s">
        <v>6</v>
      </c>
      <c r="AE6" s="7" t="s">
        <v>7</v>
      </c>
      <c r="AF6" s="7" t="s">
        <v>8</v>
      </c>
      <c r="AG6" s="7" t="s">
        <v>9</v>
      </c>
      <c r="AH6" s="7" t="s">
        <v>10</v>
      </c>
      <c r="AI6" s="7" t="s">
        <v>11</v>
      </c>
      <c r="AJ6" s="7" t="s">
        <v>12</v>
      </c>
      <c r="AK6" s="7" t="s">
        <v>13</v>
      </c>
      <c r="AL6" s="7" t="s">
        <v>14</v>
      </c>
    </row>
    <row r="7" spans="4:38" ht="15" customHeight="1" x14ac:dyDescent="0.25">
      <c r="D7" s="9"/>
      <c r="E7" s="9"/>
      <c r="F7" s="9"/>
      <c r="G7" s="224"/>
      <c r="H7" s="225"/>
      <c r="I7" s="225"/>
      <c r="J7" s="225"/>
      <c r="K7" s="225"/>
      <c r="L7" s="226"/>
      <c r="M7" s="9"/>
      <c r="N7" s="9"/>
      <c r="O7" s="9"/>
      <c r="P7" s="9"/>
      <c r="Q7" s="9"/>
      <c r="R7" s="9"/>
      <c r="X7" s="98" t="s">
        <v>277</v>
      </c>
      <c r="Y7" s="98"/>
      <c r="Z7" s="2">
        <v>250</v>
      </c>
      <c r="AA7" s="2">
        <v>1200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</row>
    <row r="8" spans="4:38" ht="21" customHeight="1" x14ac:dyDescent="0.25">
      <c r="D8" s="7" t="s">
        <v>0</v>
      </c>
      <c r="E8" s="7" t="s">
        <v>1</v>
      </c>
      <c r="F8" s="7" t="s">
        <v>2</v>
      </c>
      <c r="G8" s="7" t="s">
        <v>3</v>
      </c>
      <c r="H8" s="7" t="s">
        <v>4</v>
      </c>
      <c r="I8" s="7" t="s">
        <v>5</v>
      </c>
      <c r="J8" s="7" t="s">
        <v>6</v>
      </c>
      <c r="K8" s="7" t="s">
        <v>7</v>
      </c>
      <c r="L8" s="7" t="s">
        <v>8</v>
      </c>
      <c r="M8" s="7" t="s">
        <v>9</v>
      </c>
      <c r="N8" s="7" t="s">
        <v>10</v>
      </c>
      <c r="O8" s="7" t="s">
        <v>11</v>
      </c>
      <c r="P8" s="7" t="s">
        <v>12</v>
      </c>
      <c r="Q8" s="7" t="s">
        <v>13</v>
      </c>
      <c r="R8" s="7" t="s">
        <v>14</v>
      </c>
      <c r="X8" s="99"/>
      <c r="Y8" s="99"/>
      <c r="Z8" s="2" t="s">
        <v>516</v>
      </c>
      <c r="AA8" s="2" t="s">
        <v>516</v>
      </c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</row>
    <row r="9" spans="4:38" x14ac:dyDescent="0.25">
      <c r="D9" s="98" t="s">
        <v>277</v>
      </c>
      <c r="E9" s="98"/>
      <c r="F9" s="2">
        <v>250</v>
      </c>
      <c r="G9" s="2">
        <v>1200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X9" s="98" t="s">
        <v>825</v>
      </c>
      <c r="Y9" s="98"/>
      <c r="Z9" s="2">
        <v>250</v>
      </c>
      <c r="AA9" s="2">
        <v>1200</v>
      </c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</row>
    <row r="10" spans="4:38" x14ac:dyDescent="0.25">
      <c r="D10" s="99"/>
      <c r="E10" s="99"/>
      <c r="F10" s="2" t="s">
        <v>516</v>
      </c>
      <c r="G10" s="2" t="s">
        <v>516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X10" s="99"/>
      <c r="Y10" s="99"/>
      <c r="Z10" s="2" t="s">
        <v>826</v>
      </c>
      <c r="AA10" s="2" t="s">
        <v>826</v>
      </c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</row>
    <row r="11" spans="4:38" x14ac:dyDescent="0.25">
      <c r="D11" s="98" t="s">
        <v>825</v>
      </c>
      <c r="E11" s="98"/>
      <c r="F11" s="2"/>
      <c r="G11" s="2">
        <v>1200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X11" s="98"/>
      <c r="Y11" s="9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</row>
    <row r="12" spans="4:38" x14ac:dyDescent="0.25">
      <c r="D12" s="99"/>
      <c r="E12" s="99"/>
      <c r="F12" s="2"/>
      <c r="G12" s="2" t="s">
        <v>826</v>
      </c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X12" s="99"/>
      <c r="Y12" s="99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</row>
    <row r="13" spans="4:38" x14ac:dyDescent="0.25">
      <c r="D13" s="98"/>
      <c r="E13" s="9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X13" s="98"/>
      <c r="Y13" s="98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</row>
    <row r="14" spans="4:38" x14ac:dyDescent="0.25">
      <c r="D14" s="99"/>
      <c r="E14" s="99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X14" s="99"/>
      <c r="Y14" s="99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4:38" x14ac:dyDescent="0.25">
      <c r="D15" s="98"/>
      <c r="E15" s="98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X15" s="98"/>
      <c r="Y15" s="98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</row>
    <row r="16" spans="4:38" x14ac:dyDescent="0.25">
      <c r="D16" s="99"/>
      <c r="E16" s="99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X16" s="99"/>
      <c r="Y16" s="99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4:38" x14ac:dyDescent="0.25">
      <c r="D17" s="98"/>
      <c r="E17" s="98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X17" s="98"/>
      <c r="Y17" s="98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4:38" x14ac:dyDescent="0.25">
      <c r="D18" s="99"/>
      <c r="E18" s="99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X18" s="99"/>
      <c r="Y18" s="99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4:38" x14ac:dyDescent="0.25">
      <c r="D19" s="98"/>
      <c r="E19" s="9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X19" s="98"/>
      <c r="Y19" s="98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4:38" x14ac:dyDescent="0.25">
      <c r="D20" s="99"/>
      <c r="E20" s="99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X20" s="99"/>
      <c r="Y20" s="99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4:38" x14ac:dyDescent="0.25">
      <c r="D21" s="98"/>
      <c r="E21" s="9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X21" s="98"/>
      <c r="Y21" s="98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4:38" x14ac:dyDescent="0.25">
      <c r="D22" s="99"/>
      <c r="E22" s="9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X22" s="99"/>
      <c r="Y22" s="99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4:38" x14ac:dyDescent="0.25">
      <c r="D23" s="98"/>
      <c r="E23" s="9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X23" s="98"/>
      <c r="Y23" s="98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4:38" x14ac:dyDescent="0.25">
      <c r="D24" s="99"/>
      <c r="E24" s="99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X24" s="99"/>
      <c r="Y24" s="99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4:38" x14ac:dyDescent="0.25">
      <c r="D25" s="98"/>
      <c r="E25" s="98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X25" s="98"/>
      <c r="Y25" s="98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4:38" x14ac:dyDescent="0.25">
      <c r="D26" s="99"/>
      <c r="E26" s="99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X26" s="99"/>
      <c r="Y26" s="99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4:38" x14ac:dyDescent="0.25">
      <c r="D27" s="98"/>
      <c r="E27" s="98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X27" s="98"/>
      <c r="Y27" s="98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4:38" x14ac:dyDescent="0.25">
      <c r="D28" s="99"/>
      <c r="E28" s="9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X28" s="99"/>
      <c r="Y28" s="99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4:38" x14ac:dyDescent="0.25">
      <c r="D29" s="98"/>
      <c r="E29" s="9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X29" s="98"/>
      <c r="Y29" s="98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4:38" x14ac:dyDescent="0.25">
      <c r="D30" s="99"/>
      <c r="E30" s="99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X30" s="99"/>
      <c r="Y30" s="99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4:38" x14ac:dyDescent="0.25">
      <c r="D31" s="98"/>
      <c r="E31" s="9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X31" s="98"/>
      <c r="Y31" s="98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4:38" x14ac:dyDescent="0.25">
      <c r="D32" s="99"/>
      <c r="E32" s="99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X32" s="99"/>
      <c r="Y32" s="99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4:38" x14ac:dyDescent="0.25">
      <c r="D33" s="98"/>
      <c r="E33" s="9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X33" s="98"/>
      <c r="Y33" s="98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4:38" x14ac:dyDescent="0.25">
      <c r="D34" s="99"/>
      <c r="E34" s="9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X34" s="99"/>
      <c r="Y34" s="99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4:38" x14ac:dyDescent="0.25">
      <c r="D35" s="98"/>
      <c r="E35" s="9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X35" s="98"/>
      <c r="Y35" s="98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4:38" x14ac:dyDescent="0.25">
      <c r="D36" s="99"/>
      <c r="E36" s="99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X36" s="99"/>
      <c r="Y36" s="99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4:38" x14ac:dyDescent="0.25">
      <c r="D37" s="98"/>
      <c r="E37" s="9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X37" s="98"/>
      <c r="Y37" s="98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4:38" x14ac:dyDescent="0.25">
      <c r="D38" s="99"/>
      <c r="E38" s="99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X38" s="99"/>
      <c r="Y38" s="99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4:38" x14ac:dyDescent="0.25">
      <c r="D39" s="98"/>
      <c r="E39" s="98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X39" s="98"/>
      <c r="Y39" s="98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4:38" x14ac:dyDescent="0.25">
      <c r="D40" s="99"/>
      <c r="E40" s="99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X40" s="99"/>
      <c r="Y40" s="99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4:38" x14ac:dyDescent="0.25">
      <c r="D41" s="98"/>
      <c r="E41" s="98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X41" s="98"/>
      <c r="Y41" s="98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4:38" x14ac:dyDescent="0.25">
      <c r="D42" s="99"/>
      <c r="E42" s="99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X42" s="99"/>
      <c r="Y42" s="99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4:38" x14ac:dyDescent="0.25">
      <c r="D43" s="98"/>
      <c r="E43" s="9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X43" s="98"/>
      <c r="Y43" s="98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4:38" x14ac:dyDescent="0.25">
      <c r="D44" s="99"/>
      <c r="E44" s="99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X44" s="99"/>
      <c r="Y44" s="99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4:38" x14ac:dyDescent="0.25">
      <c r="D45" s="98"/>
      <c r="E45" s="9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X45" s="98"/>
      <c r="Y45" s="98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4:38" x14ac:dyDescent="0.25">
      <c r="D46" s="99"/>
      <c r="E46" s="99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X46" s="99"/>
      <c r="Y46" s="99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4:38" x14ac:dyDescent="0.25">
      <c r="D47" s="98"/>
      <c r="E47" s="98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4:38" x14ac:dyDescent="0.25">
      <c r="D48" s="99"/>
      <c r="E48" s="99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</sheetData>
  <mergeCells count="82">
    <mergeCell ref="X17:X18"/>
    <mergeCell ref="Y17:Y18"/>
    <mergeCell ref="AA4:AF5"/>
    <mergeCell ref="X7:X8"/>
    <mergeCell ref="Y7:Y8"/>
    <mergeCell ref="X9:X10"/>
    <mergeCell ref="Y9:Y10"/>
    <mergeCell ref="X11:X12"/>
    <mergeCell ref="Y11:Y12"/>
    <mergeCell ref="X13:X14"/>
    <mergeCell ref="Y13:Y14"/>
    <mergeCell ref="X15:X16"/>
    <mergeCell ref="Y15:Y16"/>
    <mergeCell ref="X43:X44"/>
    <mergeCell ref="Y43:Y44"/>
    <mergeCell ref="X45:X46"/>
    <mergeCell ref="Y45:Y46"/>
    <mergeCell ref="X33:X34"/>
    <mergeCell ref="Y33:Y34"/>
    <mergeCell ref="X35:X36"/>
    <mergeCell ref="Y35:Y36"/>
    <mergeCell ref="X37:X38"/>
    <mergeCell ref="Y37:Y38"/>
    <mergeCell ref="X39:X40"/>
    <mergeCell ref="Y39:Y40"/>
    <mergeCell ref="X41:X42"/>
    <mergeCell ref="Y41:Y42"/>
    <mergeCell ref="X31:X32"/>
    <mergeCell ref="Y31:Y32"/>
    <mergeCell ref="X21:X22"/>
    <mergeCell ref="Y21:Y22"/>
    <mergeCell ref="X23:X24"/>
    <mergeCell ref="Y23:Y24"/>
    <mergeCell ref="X25:X26"/>
    <mergeCell ref="Y25:Y26"/>
    <mergeCell ref="X27:X28"/>
    <mergeCell ref="Y27:Y28"/>
    <mergeCell ref="X29:X30"/>
    <mergeCell ref="Y29:Y30"/>
    <mergeCell ref="X19:X20"/>
    <mergeCell ref="Y19:Y20"/>
    <mergeCell ref="D45:D46"/>
    <mergeCell ref="E45:E46"/>
    <mergeCell ref="D47:D48"/>
    <mergeCell ref="E47:E48"/>
    <mergeCell ref="D39:D40"/>
    <mergeCell ref="E39:E40"/>
    <mergeCell ref="D41:D42"/>
    <mergeCell ref="E41:E42"/>
    <mergeCell ref="D43:D44"/>
    <mergeCell ref="E43:E44"/>
    <mergeCell ref="D33:D34"/>
    <mergeCell ref="E33:E34"/>
    <mergeCell ref="D35:D36"/>
    <mergeCell ref="E35:E36"/>
    <mergeCell ref="D37:D38"/>
    <mergeCell ref="E37:E38"/>
    <mergeCell ref="D27:D28"/>
    <mergeCell ref="E27:E28"/>
    <mergeCell ref="D29:D30"/>
    <mergeCell ref="E29:E30"/>
    <mergeCell ref="D31:D32"/>
    <mergeCell ref="E31:E32"/>
    <mergeCell ref="D21:D22"/>
    <mergeCell ref="E21:E22"/>
    <mergeCell ref="D23:D24"/>
    <mergeCell ref="E23:E24"/>
    <mergeCell ref="D25:D26"/>
    <mergeCell ref="E25:E26"/>
    <mergeCell ref="D15:D16"/>
    <mergeCell ref="E15:E16"/>
    <mergeCell ref="D17:D18"/>
    <mergeCell ref="E17:E18"/>
    <mergeCell ref="D19:D20"/>
    <mergeCell ref="E19:E20"/>
    <mergeCell ref="D13:D14"/>
    <mergeCell ref="E13:E14"/>
    <mergeCell ref="G6:L7"/>
    <mergeCell ref="D9:D10"/>
    <mergeCell ref="E9:E10"/>
    <mergeCell ref="D11:D12"/>
    <mergeCell ref="E11:E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4108E-FECF-4019-9EF1-226D6C25138B}">
  <dimension ref="G3:R30"/>
  <sheetViews>
    <sheetView rightToLeft="1" topLeftCell="C1" workbookViewId="0">
      <selection activeCell="J25" sqref="J25"/>
    </sheetView>
  </sheetViews>
  <sheetFormatPr defaultColWidth="11.42578125" defaultRowHeight="15" x14ac:dyDescent="0.25"/>
  <cols>
    <col min="4" max="4" width="5.7109375" customWidth="1"/>
    <col min="5" max="5" width="7.140625" customWidth="1"/>
    <col min="6" max="6" width="15" customWidth="1"/>
    <col min="7" max="7" width="16.85546875" hidden="1" customWidth="1"/>
    <col min="8" max="8" width="23" customWidth="1"/>
    <col min="9" max="9" width="21.5703125" customWidth="1"/>
    <col min="10" max="10" width="19" customWidth="1"/>
    <col min="11" max="11" width="20.85546875" customWidth="1"/>
    <col min="12" max="12" width="13.7109375" customWidth="1"/>
    <col min="13" max="13" width="3.85546875" customWidth="1"/>
    <col min="14" max="14" width="7.28515625" customWidth="1"/>
    <col min="15" max="15" width="18.5703125" customWidth="1"/>
    <col min="16" max="16" width="18" customWidth="1"/>
    <col min="17" max="17" width="19.85546875" customWidth="1"/>
    <col min="18" max="18" width="19.5703125" style="9" customWidth="1"/>
  </cols>
  <sheetData>
    <row r="3" spans="8:18" ht="15" customHeight="1" x14ac:dyDescent="0.25">
      <c r="H3" s="234" t="s">
        <v>175</v>
      </c>
      <c r="I3" s="145"/>
      <c r="J3" s="145"/>
      <c r="P3" s="235" t="s">
        <v>201</v>
      </c>
      <c r="Q3" s="236"/>
      <c r="R3" s="236"/>
    </row>
    <row r="4" spans="8:18" ht="15" customHeight="1" x14ac:dyDescent="0.25">
      <c r="H4" s="147"/>
      <c r="I4" s="148"/>
      <c r="J4" s="148"/>
      <c r="K4" s="9"/>
      <c r="P4" s="235"/>
      <c r="Q4" s="236"/>
      <c r="R4" s="236"/>
    </row>
    <row r="5" spans="8:18" ht="19.5" customHeight="1" x14ac:dyDescent="0.25"/>
    <row r="6" spans="8:18" ht="21" x14ac:dyDescent="0.35">
      <c r="H6" s="1" t="s">
        <v>0</v>
      </c>
      <c r="I6" s="7" t="s">
        <v>1</v>
      </c>
      <c r="J6" s="18" t="s">
        <v>179</v>
      </c>
      <c r="L6" s="233" t="s">
        <v>180</v>
      </c>
      <c r="P6" s="7" t="s">
        <v>0</v>
      </c>
      <c r="Q6" s="7" t="s">
        <v>1</v>
      </c>
      <c r="R6" s="18" t="s">
        <v>179</v>
      </c>
    </row>
    <row r="7" spans="8:18" ht="21" customHeight="1" x14ac:dyDescent="0.25">
      <c r="H7" s="98" t="s">
        <v>176</v>
      </c>
      <c r="I7" s="98" t="s">
        <v>177</v>
      </c>
      <c r="J7" s="16">
        <v>1200</v>
      </c>
      <c r="L7" s="233"/>
      <c r="P7" s="98" t="s">
        <v>202</v>
      </c>
      <c r="Q7" s="98" t="s">
        <v>203</v>
      </c>
      <c r="R7" s="16">
        <v>1200</v>
      </c>
    </row>
    <row r="8" spans="8:18" ht="22.5" customHeight="1" x14ac:dyDescent="0.25">
      <c r="H8" s="99"/>
      <c r="I8" s="99"/>
      <c r="J8" s="19" t="s">
        <v>178</v>
      </c>
      <c r="L8" s="233"/>
      <c r="P8" s="99"/>
      <c r="Q8" s="99"/>
      <c r="R8" s="16" t="s">
        <v>204</v>
      </c>
    </row>
    <row r="9" spans="8:18" ht="21" customHeight="1" x14ac:dyDescent="0.25">
      <c r="H9" s="98" t="s">
        <v>181</v>
      </c>
      <c r="I9" s="98" t="s">
        <v>182</v>
      </c>
      <c r="J9" s="16">
        <v>1200</v>
      </c>
      <c r="L9" s="233"/>
      <c r="P9" s="98" t="s">
        <v>205</v>
      </c>
      <c r="Q9" s="98"/>
      <c r="R9" s="16">
        <v>1200</v>
      </c>
    </row>
    <row r="10" spans="8:18" ht="27.75" customHeight="1" x14ac:dyDescent="0.25">
      <c r="H10" s="99"/>
      <c r="I10" s="99"/>
      <c r="J10" s="19" t="s">
        <v>183</v>
      </c>
      <c r="L10" s="233"/>
      <c r="P10" s="99"/>
      <c r="Q10" s="99"/>
      <c r="R10" s="16" t="s">
        <v>206</v>
      </c>
    </row>
    <row r="11" spans="8:18" ht="29.25" customHeight="1" x14ac:dyDescent="0.25">
      <c r="H11" s="98" t="s">
        <v>184</v>
      </c>
      <c r="I11" s="98" t="s">
        <v>185</v>
      </c>
      <c r="J11" s="16">
        <v>1200</v>
      </c>
      <c r="L11" s="233"/>
      <c r="P11" s="98" t="s">
        <v>207</v>
      </c>
      <c r="Q11" s="98"/>
      <c r="R11" s="16">
        <v>1200</v>
      </c>
    </row>
    <row r="12" spans="8:18" ht="15" customHeight="1" x14ac:dyDescent="0.25">
      <c r="H12" s="99"/>
      <c r="I12" s="99"/>
      <c r="J12" s="19" t="s">
        <v>186</v>
      </c>
      <c r="L12" s="233"/>
      <c r="P12" s="99"/>
      <c r="Q12" s="99"/>
      <c r="R12" s="16" t="s">
        <v>208</v>
      </c>
    </row>
    <row r="13" spans="8:18" ht="15" customHeight="1" x14ac:dyDescent="0.25">
      <c r="H13" s="98" t="s">
        <v>187</v>
      </c>
      <c r="I13" s="98" t="s">
        <v>190</v>
      </c>
      <c r="J13" s="16">
        <v>1200</v>
      </c>
      <c r="L13" s="233"/>
      <c r="P13" s="98" t="s">
        <v>209</v>
      </c>
      <c r="Q13" s="98"/>
      <c r="R13" s="16">
        <v>1200</v>
      </c>
    </row>
    <row r="14" spans="8:18" ht="21" customHeight="1" x14ac:dyDescent="0.25">
      <c r="H14" s="99"/>
      <c r="I14" s="99"/>
      <c r="J14" s="19" t="s">
        <v>188</v>
      </c>
      <c r="L14" s="233"/>
      <c r="P14" s="99"/>
      <c r="Q14" s="99"/>
      <c r="R14" s="16" t="s">
        <v>210</v>
      </c>
    </row>
    <row r="15" spans="8:18" ht="15" customHeight="1" x14ac:dyDescent="0.25">
      <c r="H15" s="98" t="s">
        <v>189</v>
      </c>
      <c r="I15" s="98"/>
      <c r="J15" s="16">
        <v>1200</v>
      </c>
      <c r="L15" s="233"/>
      <c r="P15" s="98" t="s">
        <v>263</v>
      </c>
      <c r="Q15" s="98"/>
      <c r="R15" s="16">
        <v>1200</v>
      </c>
    </row>
    <row r="16" spans="8:18" ht="15" customHeight="1" x14ac:dyDescent="0.25">
      <c r="H16" s="99"/>
      <c r="I16" s="99"/>
      <c r="J16" s="19" t="s">
        <v>191</v>
      </c>
      <c r="L16" s="233"/>
      <c r="P16" s="99"/>
      <c r="Q16" s="99"/>
      <c r="R16" s="16" t="s">
        <v>264</v>
      </c>
    </row>
    <row r="17" spans="8:18" ht="15" customHeight="1" x14ac:dyDescent="0.25">
      <c r="H17" s="98" t="s">
        <v>192</v>
      </c>
      <c r="I17" s="98" t="s">
        <v>193</v>
      </c>
      <c r="J17" s="16">
        <v>1200</v>
      </c>
      <c r="L17" s="233"/>
      <c r="P17" s="98" t="s">
        <v>357</v>
      </c>
      <c r="Q17" s="98" t="s">
        <v>358</v>
      </c>
      <c r="R17" s="16" t="s">
        <v>360</v>
      </c>
    </row>
    <row r="18" spans="8:18" ht="15" customHeight="1" x14ac:dyDescent="0.25">
      <c r="H18" s="99"/>
      <c r="I18" s="99"/>
      <c r="J18" s="19" t="s">
        <v>194</v>
      </c>
      <c r="L18" s="233"/>
      <c r="P18" s="99"/>
      <c r="Q18" s="99"/>
      <c r="R18" s="16" t="s">
        <v>359</v>
      </c>
    </row>
    <row r="19" spans="8:18" ht="15" customHeight="1" x14ac:dyDescent="0.25">
      <c r="H19" s="98" t="s">
        <v>195</v>
      </c>
      <c r="I19" s="98" t="s">
        <v>196</v>
      </c>
      <c r="J19" s="16">
        <v>1200</v>
      </c>
      <c r="L19" s="233"/>
      <c r="P19" s="98"/>
      <c r="Q19" s="12"/>
      <c r="R19" s="16"/>
    </row>
    <row r="20" spans="8:18" ht="15" customHeight="1" x14ac:dyDescent="0.25">
      <c r="H20" s="99"/>
      <c r="I20" s="99"/>
      <c r="J20" s="19" t="s">
        <v>197</v>
      </c>
      <c r="L20" s="233"/>
      <c r="P20" s="99"/>
      <c r="Q20" s="13"/>
      <c r="R20" s="16"/>
    </row>
    <row r="21" spans="8:18" ht="15" customHeight="1" x14ac:dyDescent="0.25">
      <c r="H21" s="98" t="s">
        <v>198</v>
      </c>
      <c r="I21" s="98" t="s">
        <v>200</v>
      </c>
      <c r="J21" s="16">
        <v>1200</v>
      </c>
      <c r="L21" s="233"/>
      <c r="P21" s="11"/>
      <c r="Q21" s="11"/>
      <c r="R21" s="16"/>
    </row>
    <row r="22" spans="8:18" ht="15" customHeight="1" x14ac:dyDescent="0.25">
      <c r="H22" s="99"/>
      <c r="I22" s="99"/>
      <c r="J22" s="19" t="s">
        <v>199</v>
      </c>
      <c r="L22" s="233"/>
      <c r="P22" s="11"/>
      <c r="Q22" s="11"/>
      <c r="R22" s="16"/>
    </row>
    <row r="23" spans="8:18" ht="15" customHeight="1" x14ac:dyDescent="0.25">
      <c r="H23" s="98" t="s">
        <v>219</v>
      </c>
      <c r="I23" s="98"/>
      <c r="J23" s="16" t="s">
        <v>223</v>
      </c>
      <c r="L23" s="233"/>
      <c r="P23" s="12"/>
      <c r="Q23" s="12"/>
      <c r="R23" s="16"/>
    </row>
    <row r="24" spans="8:18" ht="15" customHeight="1" x14ac:dyDescent="0.25">
      <c r="H24" s="99"/>
      <c r="I24" s="99"/>
      <c r="J24" s="19" t="s">
        <v>222</v>
      </c>
      <c r="L24" s="233"/>
      <c r="P24" s="13"/>
      <c r="Q24" s="13"/>
      <c r="R24" s="16"/>
    </row>
    <row r="25" spans="8:18" ht="15" customHeight="1" x14ac:dyDescent="0.25">
      <c r="H25" s="98" t="s">
        <v>220</v>
      </c>
      <c r="I25" s="98" t="s">
        <v>221</v>
      </c>
      <c r="J25" s="16" t="s">
        <v>223</v>
      </c>
      <c r="L25" s="233"/>
      <c r="P25" s="11"/>
      <c r="Q25" s="11"/>
      <c r="R25" s="16"/>
    </row>
    <row r="26" spans="8:18" ht="15" customHeight="1" x14ac:dyDescent="0.25">
      <c r="H26" s="99"/>
      <c r="I26" s="99"/>
      <c r="J26" s="19" t="s">
        <v>224</v>
      </c>
      <c r="L26" s="233"/>
      <c r="P26" s="11"/>
      <c r="Q26" s="11"/>
      <c r="R26" s="16"/>
    </row>
    <row r="27" spans="8:18" ht="15" customHeight="1" x14ac:dyDescent="0.25">
      <c r="H27" s="98" t="s">
        <v>195</v>
      </c>
      <c r="I27" s="98" t="s">
        <v>196</v>
      </c>
      <c r="J27" s="16">
        <v>1200</v>
      </c>
      <c r="L27" s="10"/>
      <c r="P27" s="98"/>
      <c r="Q27" s="98"/>
      <c r="R27" s="16"/>
    </row>
    <row r="28" spans="8:18" ht="15" customHeight="1" x14ac:dyDescent="0.25">
      <c r="H28" s="99"/>
      <c r="I28" s="99"/>
      <c r="J28" s="19" t="s">
        <v>197</v>
      </c>
      <c r="L28" s="10"/>
      <c r="P28" s="99"/>
      <c r="Q28" s="99"/>
      <c r="R28" s="16"/>
    </row>
    <row r="29" spans="8:18" x14ac:dyDescent="0.25">
      <c r="H29" s="98" t="s">
        <v>625</v>
      </c>
      <c r="I29" s="98"/>
      <c r="J29" s="16">
        <v>1200</v>
      </c>
    </row>
    <row r="30" spans="8:18" x14ac:dyDescent="0.25">
      <c r="H30" s="99"/>
      <c r="I30" s="99"/>
      <c r="J30" s="19" t="s">
        <v>626</v>
      </c>
    </row>
  </sheetData>
  <mergeCells count="42">
    <mergeCell ref="P27:P28"/>
    <mergeCell ref="P7:P8"/>
    <mergeCell ref="P9:P10"/>
    <mergeCell ref="P11:P12"/>
    <mergeCell ref="P13:P14"/>
    <mergeCell ref="P15:P16"/>
    <mergeCell ref="Q27:Q28"/>
    <mergeCell ref="Q9:Q10"/>
    <mergeCell ref="Q11:Q12"/>
    <mergeCell ref="Q13:Q14"/>
    <mergeCell ref="Q15:Q16"/>
    <mergeCell ref="Q17:Q18"/>
    <mergeCell ref="H11:H12"/>
    <mergeCell ref="P17:P18"/>
    <mergeCell ref="P19:P20"/>
    <mergeCell ref="Q7:Q8"/>
    <mergeCell ref="P3:R4"/>
    <mergeCell ref="I21:I22"/>
    <mergeCell ref="H25:H26"/>
    <mergeCell ref="I25:I26"/>
    <mergeCell ref="H13:H14"/>
    <mergeCell ref="I13:I14"/>
    <mergeCell ref="H15:H16"/>
    <mergeCell ref="I15:I16"/>
    <mergeCell ref="H17:H18"/>
    <mergeCell ref="I17:I18"/>
    <mergeCell ref="H29:H30"/>
    <mergeCell ref="I29:I30"/>
    <mergeCell ref="L6:L26"/>
    <mergeCell ref="H21:H22"/>
    <mergeCell ref="H3:J4"/>
    <mergeCell ref="H23:H24"/>
    <mergeCell ref="I23:I24"/>
    <mergeCell ref="H7:H8"/>
    <mergeCell ref="I7:I8"/>
    <mergeCell ref="H9:H10"/>
    <mergeCell ref="I9:I10"/>
    <mergeCell ref="H27:H28"/>
    <mergeCell ref="I27:I28"/>
    <mergeCell ref="H19:H20"/>
    <mergeCell ref="I19:I20"/>
    <mergeCell ref="I11:I12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499B1-404E-4262-A279-20D8EAABB680}">
  <dimension ref="B3:AY46"/>
  <sheetViews>
    <sheetView rightToLeft="1" topLeftCell="X1" workbookViewId="0">
      <selection activeCell="AK6" sqref="AK6:AN9"/>
    </sheetView>
  </sheetViews>
  <sheetFormatPr defaultColWidth="11.42578125" defaultRowHeight="15" x14ac:dyDescent="0.25"/>
  <cols>
    <col min="2" max="2" width="18.5703125" bestFit="1" customWidth="1"/>
    <col min="3" max="3" width="18.5703125" customWidth="1"/>
    <col min="4" max="4" width="22.5703125" bestFit="1" customWidth="1"/>
    <col min="5" max="5" width="18.7109375" bestFit="1" customWidth="1"/>
    <col min="18" max="18" width="18.5703125" bestFit="1" customWidth="1"/>
    <col min="19" max="19" width="21.7109375" style="9" customWidth="1"/>
    <col min="20" max="20" width="22.5703125" bestFit="1" customWidth="1"/>
    <col min="21" max="21" width="18.7109375" bestFit="1" customWidth="1"/>
    <col min="37" max="37" width="17.140625" customWidth="1"/>
    <col min="38" max="38" width="18.140625" customWidth="1"/>
    <col min="39" max="39" width="21.140625" customWidth="1"/>
    <col min="40" max="40" width="19.5703125" customWidth="1"/>
  </cols>
  <sheetData>
    <row r="3" spans="2:51" x14ac:dyDescent="0.25">
      <c r="AL3" s="9"/>
      <c r="AN3" s="237" t="s">
        <v>700</v>
      </c>
      <c r="AO3" s="238"/>
      <c r="AP3" s="238"/>
      <c r="AQ3" s="238"/>
      <c r="AR3" s="238"/>
      <c r="AS3" s="239"/>
    </row>
    <row r="4" spans="2:51" ht="15" customHeight="1" x14ac:dyDescent="0.25">
      <c r="E4" s="227" t="s">
        <v>57</v>
      </c>
      <c r="F4" s="228"/>
      <c r="G4" s="228"/>
      <c r="H4" s="228"/>
      <c r="I4" s="228"/>
      <c r="J4" s="229"/>
      <c r="U4" s="227" t="s">
        <v>56</v>
      </c>
      <c r="V4" s="228"/>
      <c r="W4" s="228"/>
      <c r="X4" s="228"/>
      <c r="Y4" s="228"/>
      <c r="Z4" s="229"/>
      <c r="AL4" s="9"/>
      <c r="AN4" s="240"/>
      <c r="AO4" s="241"/>
      <c r="AP4" s="241"/>
      <c r="AQ4" s="241"/>
      <c r="AR4" s="241"/>
      <c r="AS4" s="242"/>
    </row>
    <row r="5" spans="2:51" ht="21" x14ac:dyDescent="0.35">
      <c r="E5" s="230"/>
      <c r="F5" s="231"/>
      <c r="G5" s="231"/>
      <c r="H5" s="231"/>
      <c r="I5" s="231"/>
      <c r="J5" s="232"/>
      <c r="U5" s="230"/>
      <c r="V5" s="231"/>
      <c r="W5" s="231"/>
      <c r="X5" s="231"/>
      <c r="Y5" s="231"/>
      <c r="Z5" s="232"/>
      <c r="AK5" s="1" t="s">
        <v>0</v>
      </c>
      <c r="AL5" s="7" t="s">
        <v>1</v>
      </c>
      <c r="AM5" s="1" t="s">
        <v>2</v>
      </c>
      <c r="AN5" s="7" t="s">
        <v>3</v>
      </c>
      <c r="AO5" s="1" t="s">
        <v>4</v>
      </c>
      <c r="AP5" s="1" t="s">
        <v>5</v>
      </c>
      <c r="AQ5" s="1" t="s">
        <v>6</v>
      </c>
      <c r="AR5" s="1" t="s">
        <v>7</v>
      </c>
      <c r="AS5" s="1" t="s">
        <v>8</v>
      </c>
      <c r="AT5" s="1" t="s">
        <v>9</v>
      </c>
      <c r="AU5" s="1" t="s">
        <v>10</v>
      </c>
      <c r="AV5" s="1" t="s">
        <v>11</v>
      </c>
      <c r="AW5" s="1" t="s">
        <v>12</v>
      </c>
      <c r="AX5" s="1" t="s">
        <v>13</v>
      </c>
      <c r="AY5" s="1" t="s">
        <v>14</v>
      </c>
    </row>
    <row r="6" spans="2:51" ht="21" x14ac:dyDescent="0.35">
      <c r="B6" s="1" t="s">
        <v>0</v>
      </c>
      <c r="C6" s="1" t="s">
        <v>1</v>
      </c>
      <c r="D6" s="1" t="s">
        <v>2</v>
      </c>
      <c r="E6" s="7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R6" s="1" t="s">
        <v>0</v>
      </c>
      <c r="S6" s="7" t="s">
        <v>1</v>
      </c>
      <c r="T6" s="1" t="s">
        <v>2</v>
      </c>
      <c r="U6" s="7" t="s">
        <v>3</v>
      </c>
      <c r="V6" s="1" t="s">
        <v>4</v>
      </c>
      <c r="W6" s="1" t="s">
        <v>5</v>
      </c>
      <c r="X6" s="1" t="s">
        <v>6</v>
      </c>
      <c r="Y6" s="1" t="s">
        <v>7</v>
      </c>
      <c r="Z6" s="1" t="s">
        <v>8</v>
      </c>
      <c r="AA6" s="1" t="s">
        <v>9</v>
      </c>
      <c r="AB6" s="1" t="s">
        <v>10</v>
      </c>
      <c r="AC6" s="1" t="s">
        <v>11</v>
      </c>
      <c r="AD6" s="1" t="s">
        <v>12</v>
      </c>
      <c r="AE6" s="1" t="s">
        <v>13</v>
      </c>
      <c r="AF6" s="1" t="s">
        <v>14</v>
      </c>
      <c r="AK6" s="98" t="s">
        <v>721</v>
      </c>
      <c r="AL6" s="98"/>
      <c r="AM6" s="2">
        <v>250</v>
      </c>
      <c r="AN6" s="2">
        <v>1200</v>
      </c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</row>
    <row r="7" spans="2:51" x14ac:dyDescent="0.25">
      <c r="B7" s="98" t="s">
        <v>610</v>
      </c>
      <c r="C7" s="98"/>
      <c r="D7" s="2">
        <v>250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R7" s="98" t="s">
        <v>634</v>
      </c>
      <c r="S7" s="98"/>
      <c r="T7" s="2">
        <v>250</v>
      </c>
      <c r="U7" s="2">
        <v>1200</v>
      </c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K7" s="99"/>
      <c r="AL7" s="99"/>
      <c r="AM7" s="2" t="s">
        <v>790</v>
      </c>
      <c r="AN7" s="2" t="s">
        <v>790</v>
      </c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</row>
    <row r="8" spans="2:51" x14ac:dyDescent="0.25">
      <c r="B8" s="99"/>
      <c r="C8" s="99"/>
      <c r="D8" s="2" t="s">
        <v>611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R8" s="99"/>
      <c r="S8" s="99"/>
      <c r="T8" s="2" t="s">
        <v>635</v>
      </c>
      <c r="U8" s="2" t="s">
        <v>635</v>
      </c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K8" s="98" t="s">
        <v>791</v>
      </c>
      <c r="AL8" s="98"/>
      <c r="AM8" s="2">
        <v>250</v>
      </c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</row>
    <row r="9" spans="2:51" x14ac:dyDescent="0.25">
      <c r="B9" s="98" t="s">
        <v>207</v>
      </c>
      <c r="C9" s="98"/>
      <c r="D9" s="2">
        <v>250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R9" s="98" t="s">
        <v>721</v>
      </c>
      <c r="S9" s="98" t="s">
        <v>722</v>
      </c>
      <c r="T9" s="2">
        <v>250</v>
      </c>
      <c r="U9" s="2">
        <v>1200</v>
      </c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K9" s="99"/>
      <c r="AL9" s="99"/>
      <c r="AM9" s="2" t="s">
        <v>793</v>
      </c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</row>
    <row r="10" spans="2:51" x14ac:dyDescent="0.25">
      <c r="B10" s="99"/>
      <c r="C10" s="99"/>
      <c r="D10" s="2" t="s">
        <v>612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R10" s="99"/>
      <c r="S10" s="99"/>
      <c r="T10" s="2" t="s">
        <v>723</v>
      </c>
      <c r="U10" s="2" t="s">
        <v>723</v>
      </c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K10" s="98"/>
      <c r="AL10" s="98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</row>
    <row r="11" spans="2:51" x14ac:dyDescent="0.25">
      <c r="B11" s="98" t="s">
        <v>209</v>
      </c>
      <c r="C11" s="98"/>
      <c r="D11" s="2">
        <v>250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R11" s="98" t="s">
        <v>791</v>
      </c>
      <c r="S11" s="98"/>
      <c r="T11" s="2">
        <v>250</v>
      </c>
      <c r="U11" s="2">
        <v>1200</v>
      </c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K11" s="99"/>
      <c r="AL11" s="99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</row>
    <row r="12" spans="2:51" x14ac:dyDescent="0.25">
      <c r="B12" s="99"/>
      <c r="C12" s="99"/>
      <c r="D12" s="2" t="s">
        <v>613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R12" s="99"/>
      <c r="S12" s="99"/>
      <c r="T12" s="2" t="s">
        <v>792</v>
      </c>
      <c r="U12" s="2" t="s">
        <v>792</v>
      </c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K12" s="98"/>
      <c r="AL12" s="98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</row>
    <row r="13" spans="2:51" x14ac:dyDescent="0.25">
      <c r="B13" s="98" t="s">
        <v>634</v>
      </c>
      <c r="C13" s="98"/>
      <c r="D13" s="2">
        <v>250</v>
      </c>
      <c r="E13" s="2">
        <v>1200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R13" s="98"/>
      <c r="S13" s="98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K13" s="99"/>
      <c r="AL13" s="99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</row>
    <row r="14" spans="2:51" x14ac:dyDescent="0.25">
      <c r="B14" s="99"/>
      <c r="C14" s="99"/>
      <c r="D14" s="2" t="s">
        <v>635</v>
      </c>
      <c r="E14" s="2" t="s">
        <v>635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R14" s="99"/>
      <c r="S14" s="99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K14" s="98"/>
      <c r="AL14" s="98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</row>
    <row r="15" spans="2:51" x14ac:dyDescent="0.25">
      <c r="B15" s="98" t="s">
        <v>721</v>
      </c>
      <c r="C15" s="98" t="s">
        <v>722</v>
      </c>
      <c r="D15" s="2">
        <v>250</v>
      </c>
      <c r="E15" s="2">
        <v>1200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R15" s="98"/>
      <c r="S15" s="98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K15" s="99"/>
      <c r="AL15" s="99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</row>
    <row r="16" spans="2:51" x14ac:dyDescent="0.25">
      <c r="B16" s="99"/>
      <c r="C16" s="99"/>
      <c r="D16" s="2" t="s">
        <v>723</v>
      </c>
      <c r="E16" s="2" t="s">
        <v>723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R16" s="99"/>
      <c r="S16" s="99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K16" s="98"/>
      <c r="AL16" s="98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</row>
    <row r="17" spans="2:51" x14ac:dyDescent="0.25">
      <c r="B17" s="98" t="s">
        <v>791</v>
      </c>
      <c r="C17" s="98"/>
      <c r="D17" s="2">
        <v>250</v>
      </c>
      <c r="E17" s="2">
        <v>1200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R17" s="98"/>
      <c r="S17" s="98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K17" s="99"/>
      <c r="AL17" s="99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</row>
    <row r="18" spans="2:51" x14ac:dyDescent="0.25">
      <c r="B18" s="99"/>
      <c r="C18" s="99"/>
      <c r="D18" s="2" t="s">
        <v>792</v>
      </c>
      <c r="E18" s="2" t="s">
        <v>792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R18" s="99"/>
      <c r="S18" s="99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K18" s="98"/>
      <c r="AL18" s="98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</row>
    <row r="19" spans="2:51" x14ac:dyDescent="0.25">
      <c r="B19" s="98" t="s">
        <v>816</v>
      </c>
      <c r="C19" s="98" t="s">
        <v>817</v>
      </c>
      <c r="D19" s="2"/>
      <c r="E19" s="2">
        <v>1200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R19" s="98"/>
      <c r="S19" s="98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K19" s="99"/>
      <c r="AL19" s="99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</row>
    <row r="20" spans="2:51" x14ac:dyDescent="0.25">
      <c r="B20" s="99"/>
      <c r="C20" s="99"/>
      <c r="D20" s="2"/>
      <c r="E20" s="2" t="s">
        <v>818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R20" s="99"/>
      <c r="S20" s="99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K20" s="98"/>
      <c r="AL20" s="98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</row>
    <row r="21" spans="2:51" x14ac:dyDescent="0.25">
      <c r="B21" s="98"/>
      <c r="C21" s="98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R21" s="98"/>
      <c r="S21" s="98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K21" s="99"/>
      <c r="AL21" s="99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</row>
    <row r="22" spans="2:51" x14ac:dyDescent="0.25">
      <c r="B22" s="99"/>
      <c r="C22" s="99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R22" s="99"/>
      <c r="S22" s="99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K22" s="98"/>
      <c r="AL22" s="98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</row>
    <row r="23" spans="2:51" x14ac:dyDescent="0.25">
      <c r="B23" s="98"/>
      <c r="C23" s="98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R23" s="98"/>
      <c r="S23" s="98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K23" s="99"/>
      <c r="AL23" s="99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</row>
    <row r="24" spans="2:51" x14ac:dyDescent="0.25">
      <c r="B24" s="99"/>
      <c r="C24" s="99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R24" s="99"/>
      <c r="S24" s="99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K24" s="98"/>
      <c r="AL24" s="98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</row>
    <row r="25" spans="2:51" x14ac:dyDescent="0.25">
      <c r="B25" s="98"/>
      <c r="C25" s="9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98"/>
      <c r="S25" s="98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K25" s="99"/>
      <c r="AL25" s="99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</row>
    <row r="26" spans="2:51" x14ac:dyDescent="0.25">
      <c r="B26" s="99"/>
      <c r="C26" s="99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R26" s="99"/>
      <c r="S26" s="99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K26" s="98"/>
      <c r="AL26" s="98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</row>
    <row r="27" spans="2:51" x14ac:dyDescent="0.25">
      <c r="B27" s="98"/>
      <c r="C27" s="98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R27" s="98"/>
      <c r="S27" s="98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K27" s="99"/>
      <c r="AL27" s="99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</row>
    <row r="28" spans="2:51" x14ac:dyDescent="0.25">
      <c r="B28" s="99"/>
      <c r="C28" s="99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R28" s="99"/>
      <c r="S28" s="99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K28" s="98"/>
      <c r="AL28" s="98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</row>
    <row r="29" spans="2:51" x14ac:dyDescent="0.25">
      <c r="B29" s="98"/>
      <c r="C29" s="98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R29" s="98"/>
      <c r="S29" s="98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K29" s="99"/>
      <c r="AL29" s="99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</row>
    <row r="30" spans="2:51" x14ac:dyDescent="0.25">
      <c r="B30" s="99"/>
      <c r="C30" s="9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R30" s="99"/>
      <c r="S30" s="99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K30" s="98"/>
      <c r="AL30" s="98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</row>
    <row r="31" spans="2:51" x14ac:dyDescent="0.25">
      <c r="B31" s="98"/>
      <c r="C31" s="98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R31" s="98"/>
      <c r="S31" s="98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K31" s="99"/>
      <c r="AL31" s="99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</row>
    <row r="32" spans="2:51" x14ac:dyDescent="0.25">
      <c r="B32" s="99"/>
      <c r="C32" s="9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R32" s="99"/>
      <c r="S32" s="99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K32" s="98"/>
      <c r="AL32" s="98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</row>
    <row r="33" spans="2:51" x14ac:dyDescent="0.25">
      <c r="B33" s="98"/>
      <c r="C33" s="98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R33" s="98"/>
      <c r="S33" s="98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K33" s="99"/>
      <c r="AL33" s="99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</row>
    <row r="34" spans="2:51" x14ac:dyDescent="0.25">
      <c r="B34" s="99"/>
      <c r="C34" s="9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R34" s="99"/>
      <c r="S34" s="99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K34" s="98"/>
      <c r="AL34" s="98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</row>
    <row r="35" spans="2:51" x14ac:dyDescent="0.25">
      <c r="B35" s="98"/>
      <c r="C35" s="98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R35" s="98"/>
      <c r="S35" s="98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K35" s="99"/>
      <c r="AL35" s="99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</row>
    <row r="36" spans="2:51" x14ac:dyDescent="0.25">
      <c r="B36" s="99"/>
      <c r="C36" s="9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R36" s="99"/>
      <c r="S36" s="99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K36" s="98"/>
      <c r="AL36" s="98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</row>
    <row r="37" spans="2:51" x14ac:dyDescent="0.25">
      <c r="B37" s="98"/>
      <c r="C37" s="98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R37" s="98"/>
      <c r="S37" s="98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K37" s="99"/>
      <c r="AL37" s="99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</row>
    <row r="38" spans="2:51" x14ac:dyDescent="0.25">
      <c r="B38" s="99"/>
      <c r="C38" s="9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R38" s="99"/>
      <c r="S38" s="99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K38" s="98"/>
      <c r="AL38" s="98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</row>
    <row r="39" spans="2:51" x14ac:dyDescent="0.25">
      <c r="B39" s="98"/>
      <c r="C39" s="98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R39" s="98"/>
      <c r="S39" s="98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K39" s="99"/>
      <c r="AL39" s="99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</row>
    <row r="40" spans="2:51" x14ac:dyDescent="0.25">
      <c r="B40" s="99"/>
      <c r="C40" s="99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R40" s="99"/>
      <c r="S40" s="99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K40" s="98"/>
      <c r="AL40" s="98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</row>
    <row r="41" spans="2:51" x14ac:dyDescent="0.25">
      <c r="B41" s="98"/>
      <c r="C41" s="98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R41" s="98"/>
      <c r="S41" s="98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K41" s="99"/>
      <c r="AL41" s="99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</row>
    <row r="42" spans="2:51" x14ac:dyDescent="0.25">
      <c r="B42" s="99"/>
      <c r="C42" s="99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R42" s="99"/>
      <c r="S42" s="99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K42" s="98"/>
      <c r="AL42" s="98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</row>
    <row r="43" spans="2:51" x14ac:dyDescent="0.25">
      <c r="B43" s="98"/>
      <c r="C43" s="98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R43" s="98"/>
      <c r="S43" s="98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K43" s="99"/>
      <c r="AL43" s="99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</row>
    <row r="44" spans="2:51" x14ac:dyDescent="0.25">
      <c r="B44" s="99"/>
      <c r="C44" s="99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R44" s="99"/>
      <c r="S44" s="99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K44" s="98"/>
      <c r="AL44" s="98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</row>
    <row r="45" spans="2:51" x14ac:dyDescent="0.25">
      <c r="B45" s="98"/>
      <c r="C45" s="98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R45" s="98"/>
      <c r="S45" s="98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K45" s="99"/>
      <c r="AL45" s="99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</row>
    <row r="46" spans="2:51" x14ac:dyDescent="0.25">
      <c r="B46" s="99"/>
      <c r="C46" s="99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R46" s="99"/>
      <c r="S46" s="99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</sheetData>
  <mergeCells count="123">
    <mergeCell ref="AK40:AK41"/>
    <mergeCell ref="AL40:AL41"/>
    <mergeCell ref="AK42:AK43"/>
    <mergeCell ref="AL42:AL43"/>
    <mergeCell ref="AK44:AK45"/>
    <mergeCell ref="AL44:AL45"/>
    <mergeCell ref="AK34:AK35"/>
    <mergeCell ref="AL34:AL35"/>
    <mergeCell ref="AK36:AK37"/>
    <mergeCell ref="AL36:AL37"/>
    <mergeCell ref="AK38:AK39"/>
    <mergeCell ref="AL38:AL39"/>
    <mergeCell ref="AK28:AK29"/>
    <mergeCell ref="AL28:AL29"/>
    <mergeCell ref="AK30:AK31"/>
    <mergeCell ref="AL30:AL31"/>
    <mergeCell ref="AK32:AK33"/>
    <mergeCell ref="AL32:AL33"/>
    <mergeCell ref="AK22:AK23"/>
    <mergeCell ref="AL22:AL23"/>
    <mergeCell ref="AK24:AK25"/>
    <mergeCell ref="AL24:AL25"/>
    <mergeCell ref="AK26:AK27"/>
    <mergeCell ref="AL26:AL27"/>
    <mergeCell ref="AK16:AK17"/>
    <mergeCell ref="AL16:AL17"/>
    <mergeCell ref="AK18:AK19"/>
    <mergeCell ref="AL18:AL19"/>
    <mergeCell ref="AK20:AK21"/>
    <mergeCell ref="AL20:AL21"/>
    <mergeCell ref="AK10:AK11"/>
    <mergeCell ref="AL10:AL11"/>
    <mergeCell ref="AK12:AK13"/>
    <mergeCell ref="AL12:AL13"/>
    <mergeCell ref="AK14:AK15"/>
    <mergeCell ref="AL14:AL15"/>
    <mergeCell ref="AN3:AS4"/>
    <mergeCell ref="AK6:AK7"/>
    <mergeCell ref="AL6:AL7"/>
    <mergeCell ref="AK8:AK9"/>
    <mergeCell ref="AL8:AL9"/>
    <mergeCell ref="B11:B12"/>
    <mergeCell ref="C11:C12"/>
    <mergeCell ref="E4:J5"/>
    <mergeCell ref="B7:B8"/>
    <mergeCell ref="C7:C8"/>
    <mergeCell ref="B9:B10"/>
    <mergeCell ref="C9:C10"/>
    <mergeCell ref="U4:Z5"/>
    <mergeCell ref="R7:R8"/>
    <mergeCell ref="S7:S8"/>
    <mergeCell ref="R9:R10"/>
    <mergeCell ref="S9:S10"/>
    <mergeCell ref="S11:S12"/>
    <mergeCell ref="B35:B36"/>
    <mergeCell ref="C35:C36"/>
    <mergeCell ref="B25:B26"/>
    <mergeCell ref="C25:C26"/>
    <mergeCell ref="B27:B28"/>
    <mergeCell ref="C27:C28"/>
    <mergeCell ref="B29:B30"/>
    <mergeCell ref="C29:C30"/>
    <mergeCell ref="B13:B14"/>
    <mergeCell ref="C13:C14"/>
    <mergeCell ref="B15:B16"/>
    <mergeCell ref="C15:C16"/>
    <mergeCell ref="B17:B18"/>
    <mergeCell ref="C17:C18"/>
    <mergeCell ref="B19:B20"/>
    <mergeCell ref="C19:C20"/>
    <mergeCell ref="B21:B22"/>
    <mergeCell ref="C21:C22"/>
    <mergeCell ref="B31:B32"/>
    <mergeCell ref="C31:C32"/>
    <mergeCell ref="B33:B34"/>
    <mergeCell ref="C33:C34"/>
    <mergeCell ref="R23:R24"/>
    <mergeCell ref="S23:S24"/>
    <mergeCell ref="R25:R26"/>
    <mergeCell ref="S25:S26"/>
    <mergeCell ref="R27:R28"/>
    <mergeCell ref="S27:S28"/>
    <mergeCell ref="R29:R30"/>
    <mergeCell ref="S29:S30"/>
    <mergeCell ref="B23:B24"/>
    <mergeCell ref="C23:C24"/>
    <mergeCell ref="B43:B44"/>
    <mergeCell ref="C43:C44"/>
    <mergeCell ref="B45:B46"/>
    <mergeCell ref="C45:C46"/>
    <mergeCell ref="B37:B38"/>
    <mergeCell ref="C37:C38"/>
    <mergeCell ref="B39:B40"/>
    <mergeCell ref="C39:C40"/>
    <mergeCell ref="B41:B42"/>
    <mergeCell ref="C41:C42"/>
    <mergeCell ref="R13:R14"/>
    <mergeCell ref="S13:S14"/>
    <mergeCell ref="R15:R16"/>
    <mergeCell ref="S15:S16"/>
    <mergeCell ref="R11:R12"/>
    <mergeCell ref="R19:R20"/>
    <mergeCell ref="S19:S20"/>
    <mergeCell ref="R21:R22"/>
    <mergeCell ref="S21:S22"/>
    <mergeCell ref="R17:R18"/>
    <mergeCell ref="S17:S18"/>
    <mergeCell ref="R31:R32"/>
    <mergeCell ref="S31:S32"/>
    <mergeCell ref="R33:R34"/>
    <mergeCell ref="S33:S34"/>
    <mergeCell ref="R35:R36"/>
    <mergeCell ref="S35:S36"/>
    <mergeCell ref="R43:R44"/>
    <mergeCell ref="S43:S44"/>
    <mergeCell ref="R45:R46"/>
    <mergeCell ref="S45:S46"/>
    <mergeCell ref="R37:R38"/>
    <mergeCell ref="S37:S38"/>
    <mergeCell ref="R39:R40"/>
    <mergeCell ref="S39:S40"/>
    <mergeCell ref="R41:R42"/>
    <mergeCell ref="S41:S4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C48EB-1490-4A41-A322-71BFDC7AFB9C}">
  <dimension ref="C3:P27"/>
  <sheetViews>
    <sheetView rightToLeft="1" workbookViewId="0">
      <selection activeCell="E7" sqref="E7"/>
    </sheetView>
  </sheetViews>
  <sheetFormatPr defaultColWidth="11.42578125" defaultRowHeight="15" x14ac:dyDescent="0.25"/>
  <cols>
    <col min="5" max="5" width="15.140625" customWidth="1"/>
    <col min="6" max="6" width="17.140625" customWidth="1"/>
    <col min="7" max="7" width="16.140625" customWidth="1"/>
    <col min="8" max="8" width="18" customWidth="1"/>
    <col min="10" max="10" width="18.5703125" customWidth="1"/>
    <col min="11" max="11" width="19" customWidth="1"/>
    <col min="12" max="12" width="21.140625" customWidth="1"/>
  </cols>
  <sheetData>
    <row r="3" spans="3:16" x14ac:dyDescent="0.25">
      <c r="E3" s="243" t="s">
        <v>794</v>
      </c>
      <c r="F3" s="243"/>
      <c r="G3" s="243"/>
      <c r="H3" s="243"/>
      <c r="I3" s="243"/>
      <c r="J3" s="243"/>
      <c r="K3" s="243"/>
    </row>
    <row r="4" spans="3:16" x14ac:dyDescent="0.25">
      <c r="E4" s="243"/>
      <c r="F4" s="243"/>
      <c r="G4" s="243"/>
      <c r="H4" s="243"/>
      <c r="I4" s="243"/>
      <c r="J4" s="243"/>
      <c r="K4" s="243"/>
    </row>
    <row r="5" spans="3:16" x14ac:dyDescent="0.25">
      <c r="E5" s="243"/>
      <c r="F5" s="243"/>
      <c r="G5" s="243"/>
      <c r="H5" s="243"/>
      <c r="I5" s="243"/>
      <c r="J5" s="243"/>
      <c r="K5" s="243"/>
    </row>
    <row r="6" spans="3:16" ht="28.5" x14ac:dyDescent="0.45">
      <c r="C6" s="244" t="s">
        <v>802</v>
      </c>
      <c r="D6" s="245"/>
      <c r="E6" s="244" t="s">
        <v>803</v>
      </c>
      <c r="F6" s="245"/>
      <c r="G6" s="244" t="s">
        <v>804</v>
      </c>
      <c r="H6" s="245"/>
      <c r="I6" s="244"/>
      <c r="J6" s="245"/>
      <c r="K6" s="244"/>
      <c r="L6" s="245"/>
      <c r="M6" s="244"/>
      <c r="N6" s="245"/>
      <c r="O6" s="244"/>
      <c r="P6" s="245"/>
    </row>
    <row r="7" spans="3:16" ht="28.5" x14ac:dyDescent="0.45">
      <c r="C7" s="244" t="s">
        <v>795</v>
      </c>
      <c r="D7" s="245"/>
      <c r="E7" s="82" t="s">
        <v>609</v>
      </c>
      <c r="F7" s="82"/>
      <c r="G7" s="81"/>
      <c r="H7" s="81"/>
      <c r="I7" s="81"/>
      <c r="J7" s="81"/>
      <c r="K7" s="81"/>
      <c r="L7" s="81"/>
      <c r="M7" s="81"/>
      <c r="N7" s="81"/>
      <c r="O7" s="81"/>
      <c r="P7" s="81"/>
    </row>
    <row r="8" spans="3:16" ht="28.5" x14ac:dyDescent="0.45">
      <c r="C8" s="244" t="s">
        <v>796</v>
      </c>
      <c r="D8" s="245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</row>
    <row r="9" spans="3:16" ht="28.5" x14ac:dyDescent="0.45">
      <c r="C9" s="244" t="s">
        <v>797</v>
      </c>
      <c r="D9" s="245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</row>
    <row r="10" spans="3:16" ht="28.5" x14ac:dyDescent="0.45">
      <c r="C10" s="244" t="s">
        <v>798</v>
      </c>
      <c r="D10" s="245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</row>
    <row r="11" spans="3:16" ht="28.5" x14ac:dyDescent="0.45">
      <c r="C11" s="244" t="s">
        <v>799</v>
      </c>
      <c r="D11" s="245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</row>
    <row r="12" spans="3:16" ht="28.5" x14ac:dyDescent="0.45">
      <c r="C12" s="244" t="s">
        <v>800</v>
      </c>
      <c r="D12" s="245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</row>
    <row r="13" spans="3:16" ht="28.5" x14ac:dyDescent="0.45">
      <c r="C13" s="244" t="s">
        <v>801</v>
      </c>
      <c r="D13" s="245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</row>
    <row r="14" spans="3:16" ht="28.5" x14ac:dyDescent="0.45">
      <c r="C14" s="244"/>
      <c r="D14" s="245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</row>
    <row r="15" spans="3:16" ht="28.5" x14ac:dyDescent="0.45">
      <c r="C15" s="244"/>
      <c r="D15" s="245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</row>
    <row r="16" spans="3:16" ht="28.5" x14ac:dyDescent="0.45">
      <c r="C16" s="244"/>
      <c r="D16" s="245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</row>
    <row r="17" spans="3:16" ht="28.5" x14ac:dyDescent="0.45">
      <c r="C17" s="244"/>
      <c r="D17" s="245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</row>
    <row r="18" spans="3:16" ht="28.5" x14ac:dyDescent="0.45">
      <c r="C18" s="244"/>
      <c r="D18" s="245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</row>
    <row r="19" spans="3:16" ht="28.5" x14ac:dyDescent="0.45">
      <c r="C19" s="244"/>
      <c r="D19" s="245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</row>
    <row r="20" spans="3:16" ht="28.5" x14ac:dyDescent="0.45">
      <c r="C20" s="244"/>
      <c r="D20" s="245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</row>
    <row r="21" spans="3:16" ht="28.5" x14ac:dyDescent="0.45">
      <c r="C21" s="244"/>
      <c r="D21" s="245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</row>
    <row r="22" spans="3:16" ht="28.5" x14ac:dyDescent="0.45">
      <c r="C22" s="244"/>
      <c r="D22" s="245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</row>
    <row r="23" spans="3:16" ht="28.5" x14ac:dyDescent="0.45">
      <c r="C23" s="244"/>
      <c r="D23" s="245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</row>
    <row r="24" spans="3:16" ht="28.5" x14ac:dyDescent="0.45">
      <c r="C24" s="244"/>
      <c r="D24" s="245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</row>
    <row r="25" spans="3:16" ht="28.5" x14ac:dyDescent="0.45">
      <c r="C25" s="244"/>
      <c r="D25" s="245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</row>
    <row r="26" spans="3:16" ht="28.5" x14ac:dyDescent="0.45">
      <c r="C26" s="244"/>
      <c r="D26" s="245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</row>
    <row r="27" spans="3:16" ht="28.5" x14ac:dyDescent="0.45"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</row>
  </sheetData>
  <mergeCells count="28">
    <mergeCell ref="M6:N6"/>
    <mergeCell ref="O6:P6"/>
    <mergeCell ref="C6:D6"/>
    <mergeCell ref="C24:D24"/>
    <mergeCell ref="C25:D25"/>
    <mergeCell ref="C11:D11"/>
    <mergeCell ref="C26:D26"/>
    <mergeCell ref="E6:F6"/>
    <mergeCell ref="G6:H6"/>
    <mergeCell ref="I6:J6"/>
    <mergeCell ref="C18:D18"/>
    <mergeCell ref="C19:D19"/>
    <mergeCell ref="C20:D20"/>
    <mergeCell ref="C21:D21"/>
    <mergeCell ref="C22:D22"/>
    <mergeCell ref="C23:D23"/>
    <mergeCell ref="C12:D12"/>
    <mergeCell ref="C13:D13"/>
    <mergeCell ref="C14:D14"/>
    <mergeCell ref="C15:D15"/>
    <mergeCell ref="C16:D16"/>
    <mergeCell ref="C17:D17"/>
    <mergeCell ref="E3:K5"/>
    <mergeCell ref="C7:D7"/>
    <mergeCell ref="C8:D8"/>
    <mergeCell ref="C9:D9"/>
    <mergeCell ref="C10:D10"/>
    <mergeCell ref="K6:L6"/>
  </mergeCells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CCE3-D54F-4B9E-B573-4906EEAEB8C1}">
  <dimension ref="B2:V129"/>
  <sheetViews>
    <sheetView rightToLeft="1" topLeftCell="A73" workbookViewId="0">
      <selection activeCell="H88" sqref="H88:M89"/>
    </sheetView>
  </sheetViews>
  <sheetFormatPr defaultColWidth="11.42578125" defaultRowHeight="15" x14ac:dyDescent="0.25"/>
  <cols>
    <col min="2" max="2" width="18.7109375" customWidth="1"/>
    <col min="3" max="3" width="13.5703125" customWidth="1"/>
    <col min="4" max="4" width="19.85546875" customWidth="1"/>
    <col min="5" max="5" width="20.5703125" bestFit="1" customWidth="1"/>
    <col min="6" max="6" width="18.7109375" bestFit="1" customWidth="1"/>
    <col min="7" max="7" width="22.85546875" customWidth="1"/>
    <col min="8" max="8" width="21.42578125" customWidth="1"/>
    <col min="9" max="10" width="20.42578125" customWidth="1"/>
    <col min="11" max="11" width="23.140625" bestFit="1" customWidth="1"/>
    <col min="12" max="12" width="23.140625" customWidth="1"/>
    <col min="13" max="13" width="23.140625" bestFit="1" customWidth="1"/>
    <col min="16" max="16" width="22.85546875" customWidth="1"/>
    <col min="17" max="17" width="18.42578125" customWidth="1"/>
    <col min="18" max="18" width="16.140625" customWidth="1"/>
    <col min="19" max="19" width="27.5703125" customWidth="1"/>
    <col min="20" max="20" width="17.85546875" customWidth="1"/>
    <col min="21" max="22" width="18" bestFit="1" customWidth="1"/>
  </cols>
  <sheetData>
    <row r="2" spans="2:22" ht="36.75" customHeight="1" x14ac:dyDescent="0.25">
      <c r="B2" s="248" t="s">
        <v>346</v>
      </c>
      <c r="C2" s="249"/>
      <c r="D2" s="249"/>
      <c r="E2" s="249"/>
      <c r="F2" s="250"/>
      <c r="H2" s="246" t="s">
        <v>347</v>
      </c>
      <c r="I2" s="247"/>
      <c r="J2" s="247"/>
      <c r="K2" s="247"/>
      <c r="L2" s="247"/>
      <c r="M2" s="247"/>
      <c r="R2" s="248" t="s">
        <v>348</v>
      </c>
      <c r="S2" s="249"/>
      <c r="T2" s="249"/>
      <c r="U2" s="249"/>
      <c r="V2" s="250"/>
    </row>
    <row r="3" spans="2:22" ht="27" customHeight="1" x14ac:dyDescent="0.25">
      <c r="B3" s="17" t="s">
        <v>145</v>
      </c>
      <c r="C3" s="17" t="s">
        <v>278</v>
      </c>
      <c r="D3" s="17" t="s">
        <v>146</v>
      </c>
      <c r="E3" s="17" t="s">
        <v>147</v>
      </c>
      <c r="F3" s="17" t="s">
        <v>148</v>
      </c>
      <c r="H3" s="17" t="s">
        <v>145</v>
      </c>
      <c r="I3" s="17" t="s">
        <v>278</v>
      </c>
      <c r="J3" s="17" t="s">
        <v>146</v>
      </c>
      <c r="K3" s="17" t="s">
        <v>147</v>
      </c>
      <c r="L3" s="17" t="s">
        <v>148</v>
      </c>
      <c r="M3" s="17"/>
      <c r="R3" s="17" t="s">
        <v>145</v>
      </c>
      <c r="S3" s="17" t="s">
        <v>278</v>
      </c>
      <c r="T3" s="17" t="s">
        <v>146</v>
      </c>
      <c r="U3" s="17" t="s">
        <v>147</v>
      </c>
      <c r="V3" s="17" t="s">
        <v>148</v>
      </c>
    </row>
    <row r="4" spans="2:22" ht="30" customHeight="1" x14ac:dyDescent="0.25">
      <c r="B4" s="98" t="s">
        <v>284</v>
      </c>
      <c r="C4" s="98" t="s">
        <v>285</v>
      </c>
      <c r="D4" s="34"/>
      <c r="E4" s="29">
        <v>500</v>
      </c>
      <c r="F4" s="31">
        <v>2000</v>
      </c>
      <c r="H4" s="98" t="s">
        <v>287</v>
      </c>
      <c r="I4" s="98" t="s">
        <v>341</v>
      </c>
      <c r="J4" s="34"/>
      <c r="K4" s="4">
        <v>500</v>
      </c>
      <c r="L4" s="4">
        <v>2000</v>
      </c>
      <c r="M4" s="4"/>
      <c r="R4" s="98" t="s">
        <v>277</v>
      </c>
      <c r="S4" s="98" t="s">
        <v>279</v>
      </c>
      <c r="T4" s="34"/>
      <c r="U4" s="4">
        <v>500</v>
      </c>
      <c r="V4" s="4">
        <v>2000</v>
      </c>
    </row>
    <row r="5" spans="2:22" ht="24" customHeight="1" x14ac:dyDescent="0.25">
      <c r="B5" s="99"/>
      <c r="C5" s="99"/>
      <c r="D5" s="35"/>
      <c r="E5" s="30" t="s">
        <v>286</v>
      </c>
      <c r="F5" s="32" t="s">
        <v>286</v>
      </c>
      <c r="H5" s="99"/>
      <c r="I5" s="99"/>
      <c r="J5" s="35"/>
      <c r="K5" s="33" t="s">
        <v>288</v>
      </c>
      <c r="L5" s="33" t="s">
        <v>288</v>
      </c>
      <c r="M5" s="33"/>
      <c r="R5" s="99"/>
      <c r="S5" s="99"/>
      <c r="T5" s="36"/>
      <c r="U5" s="6" t="s">
        <v>280</v>
      </c>
      <c r="V5" s="6" t="s">
        <v>280</v>
      </c>
    </row>
    <row r="6" spans="2:22" ht="18.75" x14ac:dyDescent="0.25">
      <c r="B6" s="98" t="s">
        <v>291</v>
      </c>
      <c r="C6" s="98" t="s">
        <v>344</v>
      </c>
      <c r="D6" s="34"/>
      <c r="E6" s="29">
        <v>500</v>
      </c>
      <c r="F6" s="31">
        <v>2000</v>
      </c>
      <c r="H6" s="98" t="s">
        <v>289</v>
      </c>
      <c r="I6" s="98" t="s">
        <v>342</v>
      </c>
      <c r="J6" s="34"/>
      <c r="K6" s="4">
        <v>500</v>
      </c>
      <c r="L6" s="4">
        <v>2000</v>
      </c>
      <c r="M6" s="4"/>
      <c r="R6" s="98" t="s">
        <v>281</v>
      </c>
      <c r="S6" s="98" t="s">
        <v>282</v>
      </c>
      <c r="T6" s="34"/>
      <c r="U6" s="4">
        <v>500</v>
      </c>
      <c r="V6" s="4">
        <v>2000</v>
      </c>
    </row>
    <row r="7" spans="2:22" ht="15.75" x14ac:dyDescent="0.25">
      <c r="B7" s="99"/>
      <c r="C7" s="99"/>
      <c r="D7" s="35"/>
      <c r="E7" s="30" t="s">
        <v>292</v>
      </c>
      <c r="F7" s="32" t="s">
        <v>292</v>
      </c>
      <c r="H7" s="99"/>
      <c r="I7" s="99"/>
      <c r="J7" s="35"/>
      <c r="K7" s="33" t="s">
        <v>290</v>
      </c>
      <c r="L7" s="33" t="s">
        <v>290</v>
      </c>
      <c r="M7" s="33"/>
      <c r="R7" s="99"/>
      <c r="S7" s="99"/>
      <c r="T7" s="35"/>
      <c r="U7" s="5" t="s">
        <v>283</v>
      </c>
      <c r="V7" s="5" t="s">
        <v>283</v>
      </c>
    </row>
    <row r="8" spans="2:22" ht="18.75" x14ac:dyDescent="0.25">
      <c r="B8" s="98" t="s">
        <v>295</v>
      </c>
      <c r="C8" s="98" t="s">
        <v>296</v>
      </c>
      <c r="D8" s="34"/>
      <c r="E8" s="29">
        <v>500</v>
      </c>
      <c r="F8" s="31">
        <v>2000</v>
      </c>
      <c r="H8" s="98" t="s">
        <v>293</v>
      </c>
      <c r="I8" s="98" t="s">
        <v>343</v>
      </c>
      <c r="J8" s="34"/>
      <c r="K8" s="4">
        <v>500</v>
      </c>
      <c r="L8" s="4">
        <v>2000</v>
      </c>
      <c r="M8" s="4"/>
      <c r="R8" s="98" t="s">
        <v>323</v>
      </c>
      <c r="S8" s="98" t="s">
        <v>350</v>
      </c>
      <c r="T8" s="34"/>
      <c r="U8" s="4">
        <v>500</v>
      </c>
      <c r="V8" s="4">
        <v>2000</v>
      </c>
    </row>
    <row r="9" spans="2:22" ht="15.75" x14ac:dyDescent="0.25">
      <c r="B9" s="99"/>
      <c r="C9" s="99"/>
      <c r="D9" s="35"/>
      <c r="E9" s="30" t="s">
        <v>297</v>
      </c>
      <c r="F9" s="32" t="s">
        <v>297</v>
      </c>
      <c r="H9" s="99"/>
      <c r="I9" s="99"/>
      <c r="J9" s="35"/>
      <c r="K9" s="33" t="s">
        <v>294</v>
      </c>
      <c r="L9" s="33" t="s">
        <v>294</v>
      </c>
      <c r="M9" s="33"/>
      <c r="R9" s="99"/>
      <c r="S9" s="99"/>
      <c r="T9" s="35"/>
      <c r="U9" s="5" t="s">
        <v>324</v>
      </c>
      <c r="V9" s="5" t="s">
        <v>324</v>
      </c>
    </row>
    <row r="10" spans="2:22" ht="18.75" x14ac:dyDescent="0.25">
      <c r="B10" s="98" t="s">
        <v>301</v>
      </c>
      <c r="C10" s="98" t="s">
        <v>302</v>
      </c>
      <c r="D10" s="34"/>
      <c r="E10" s="29">
        <v>500</v>
      </c>
      <c r="F10" s="31">
        <v>2000</v>
      </c>
      <c r="H10" s="98" t="s">
        <v>298</v>
      </c>
      <c r="I10" s="98" t="s">
        <v>299</v>
      </c>
      <c r="J10" s="34"/>
      <c r="K10" s="4">
        <v>500</v>
      </c>
      <c r="L10" s="4">
        <v>2000</v>
      </c>
      <c r="M10" s="4"/>
      <c r="R10" s="98" t="s">
        <v>325</v>
      </c>
      <c r="S10" s="98" t="s">
        <v>326</v>
      </c>
      <c r="T10" s="34"/>
      <c r="U10" s="4">
        <v>500</v>
      </c>
      <c r="V10" s="4">
        <v>2000</v>
      </c>
    </row>
    <row r="11" spans="2:22" ht="15.75" x14ac:dyDescent="0.25">
      <c r="B11" s="99"/>
      <c r="C11" s="99"/>
      <c r="D11" s="36"/>
      <c r="E11" s="30" t="s">
        <v>303</v>
      </c>
      <c r="F11" s="32" t="s">
        <v>303</v>
      </c>
      <c r="H11" s="99"/>
      <c r="I11" s="99"/>
      <c r="J11" s="36"/>
      <c r="K11" s="33" t="s">
        <v>300</v>
      </c>
      <c r="L11" s="33" t="s">
        <v>300</v>
      </c>
      <c r="M11" s="33"/>
      <c r="R11" s="99"/>
      <c r="S11" s="99"/>
      <c r="T11" s="36"/>
      <c r="U11" s="5" t="s">
        <v>327</v>
      </c>
      <c r="V11" s="5" t="s">
        <v>327</v>
      </c>
    </row>
    <row r="12" spans="2:22" ht="18.75" x14ac:dyDescent="0.25">
      <c r="B12" s="98" t="s">
        <v>311</v>
      </c>
      <c r="C12" s="98" t="s">
        <v>309</v>
      </c>
      <c r="D12" s="34"/>
      <c r="E12" s="29">
        <v>500</v>
      </c>
      <c r="F12" s="31">
        <v>2000</v>
      </c>
      <c r="H12" s="98" t="s">
        <v>304</v>
      </c>
      <c r="I12" s="98" t="s">
        <v>345</v>
      </c>
      <c r="J12" s="34"/>
      <c r="K12" s="4">
        <v>500</v>
      </c>
      <c r="L12" s="4">
        <v>2000</v>
      </c>
      <c r="M12" s="4"/>
      <c r="R12" s="98" t="s">
        <v>328</v>
      </c>
      <c r="S12" s="98" t="s">
        <v>329</v>
      </c>
      <c r="T12" s="34"/>
      <c r="U12" s="4">
        <v>500</v>
      </c>
      <c r="V12" s="4">
        <v>2000</v>
      </c>
    </row>
    <row r="13" spans="2:22" ht="15.75" x14ac:dyDescent="0.25">
      <c r="B13" s="99"/>
      <c r="C13" s="99"/>
      <c r="D13" s="36"/>
      <c r="E13" s="30" t="s">
        <v>312</v>
      </c>
      <c r="F13" s="32" t="s">
        <v>312</v>
      </c>
      <c r="H13" s="99"/>
      <c r="I13" s="99"/>
      <c r="J13" s="36"/>
      <c r="K13" s="33" t="s">
        <v>305</v>
      </c>
      <c r="L13" s="33" t="s">
        <v>305</v>
      </c>
      <c r="M13" s="33"/>
      <c r="R13" s="99"/>
      <c r="S13" s="99"/>
      <c r="T13" s="36"/>
      <c r="U13" s="5" t="s">
        <v>330</v>
      </c>
      <c r="V13" s="5" t="s">
        <v>330</v>
      </c>
    </row>
    <row r="14" spans="2:22" ht="18.75" x14ac:dyDescent="0.25">
      <c r="B14" s="98" t="s">
        <v>313</v>
      </c>
      <c r="C14" s="98" t="s">
        <v>314</v>
      </c>
      <c r="D14" s="34"/>
      <c r="E14" s="29">
        <v>500</v>
      </c>
      <c r="F14" s="31">
        <v>2000</v>
      </c>
      <c r="H14" s="98" t="s">
        <v>306</v>
      </c>
      <c r="I14" s="98" t="s">
        <v>190</v>
      </c>
      <c r="J14" s="34"/>
      <c r="K14" s="4">
        <v>500</v>
      </c>
      <c r="L14" s="4">
        <v>2000</v>
      </c>
      <c r="M14" s="4"/>
      <c r="R14" s="98" t="s">
        <v>331</v>
      </c>
      <c r="S14" s="98" t="s">
        <v>332</v>
      </c>
      <c r="T14" s="34"/>
      <c r="U14" s="4">
        <v>500</v>
      </c>
      <c r="V14" s="4">
        <v>2000</v>
      </c>
    </row>
    <row r="15" spans="2:22" ht="15.75" x14ac:dyDescent="0.25">
      <c r="B15" s="99"/>
      <c r="C15" s="99"/>
      <c r="D15" s="35"/>
      <c r="E15" s="30" t="s">
        <v>251</v>
      </c>
      <c r="F15" s="32" t="s">
        <v>251</v>
      </c>
      <c r="H15" s="99"/>
      <c r="I15" s="99"/>
      <c r="J15" s="35"/>
      <c r="K15" s="33" t="s">
        <v>307</v>
      </c>
      <c r="L15" s="33" t="s">
        <v>307</v>
      </c>
      <c r="M15" s="33"/>
      <c r="R15" s="99"/>
      <c r="S15" s="99"/>
      <c r="T15" s="35"/>
      <c r="U15" s="5" t="s">
        <v>333</v>
      </c>
      <c r="V15" s="5" t="s">
        <v>333</v>
      </c>
    </row>
    <row r="16" spans="2:22" ht="18.75" x14ac:dyDescent="0.25">
      <c r="B16" s="98" t="s">
        <v>321</v>
      </c>
      <c r="C16" s="98" t="s">
        <v>349</v>
      </c>
      <c r="D16" s="34"/>
      <c r="E16" s="29">
        <v>500</v>
      </c>
      <c r="F16" s="31">
        <v>2000</v>
      </c>
      <c r="H16" s="98" t="s">
        <v>308</v>
      </c>
      <c r="I16" s="98" t="s">
        <v>309</v>
      </c>
      <c r="J16" s="34"/>
      <c r="K16" s="4">
        <v>500</v>
      </c>
      <c r="L16" s="4">
        <v>2000</v>
      </c>
      <c r="M16" s="4"/>
      <c r="R16" s="98" t="s">
        <v>334</v>
      </c>
      <c r="S16" s="98" t="s">
        <v>351</v>
      </c>
      <c r="T16" s="34"/>
      <c r="U16" s="4">
        <v>500</v>
      </c>
      <c r="V16" s="4">
        <v>2000</v>
      </c>
    </row>
    <row r="17" spans="2:22" ht="15.75" x14ac:dyDescent="0.25">
      <c r="B17" s="99"/>
      <c r="C17" s="99"/>
      <c r="D17" s="35"/>
      <c r="E17" s="30" t="s">
        <v>322</v>
      </c>
      <c r="F17" s="32" t="s">
        <v>322</v>
      </c>
      <c r="H17" s="99"/>
      <c r="I17" s="99"/>
      <c r="J17" s="35"/>
      <c r="K17" s="33" t="s">
        <v>310</v>
      </c>
      <c r="L17" s="33" t="s">
        <v>310</v>
      </c>
      <c r="M17" s="33"/>
      <c r="R17" s="99"/>
      <c r="S17" s="99"/>
      <c r="T17" s="35"/>
      <c r="U17" s="5" t="s">
        <v>335</v>
      </c>
      <c r="V17" s="5" t="s">
        <v>335</v>
      </c>
    </row>
    <row r="18" spans="2:22" ht="18.75" x14ac:dyDescent="0.25">
      <c r="B18" s="98"/>
      <c r="C18" s="98"/>
      <c r="D18" s="4"/>
      <c r="E18" s="4"/>
      <c r="F18" s="31"/>
      <c r="H18" s="98" t="s">
        <v>315</v>
      </c>
      <c r="I18" s="98" t="s">
        <v>316</v>
      </c>
      <c r="J18" s="34"/>
      <c r="K18" s="4">
        <v>500</v>
      </c>
      <c r="L18" s="4">
        <v>2000</v>
      </c>
      <c r="M18" s="4"/>
      <c r="R18" s="98" t="s">
        <v>336</v>
      </c>
      <c r="S18" s="98" t="s">
        <v>352</v>
      </c>
      <c r="T18" s="34"/>
      <c r="U18" s="4">
        <v>500</v>
      </c>
      <c r="V18" s="4">
        <v>2000</v>
      </c>
    </row>
    <row r="19" spans="2:22" ht="18" customHeight="1" x14ac:dyDescent="0.25">
      <c r="B19" s="99"/>
      <c r="C19" s="99"/>
      <c r="D19" s="5"/>
      <c r="E19" s="5"/>
      <c r="F19" s="5"/>
      <c r="H19" s="99"/>
      <c r="I19" s="99"/>
      <c r="J19" s="35"/>
      <c r="K19" s="33" t="s">
        <v>317</v>
      </c>
      <c r="L19" s="33" t="s">
        <v>317</v>
      </c>
      <c r="M19" s="33"/>
      <c r="R19" s="99"/>
      <c r="S19" s="99"/>
      <c r="T19" s="35"/>
      <c r="U19" s="5" t="s">
        <v>338</v>
      </c>
      <c r="V19" s="5" t="s">
        <v>338</v>
      </c>
    </row>
    <row r="20" spans="2:22" ht="23.25" customHeight="1" x14ac:dyDescent="0.25">
      <c r="B20" s="98"/>
      <c r="C20" s="98"/>
      <c r="D20" s="4"/>
      <c r="E20" s="4"/>
      <c r="F20" s="4"/>
      <c r="H20" s="98" t="s">
        <v>318</v>
      </c>
      <c r="I20" s="98" t="s">
        <v>319</v>
      </c>
      <c r="J20" s="34"/>
      <c r="K20" s="4">
        <v>500</v>
      </c>
      <c r="L20" s="4">
        <v>2000</v>
      </c>
      <c r="M20" s="4"/>
      <c r="R20" s="98" t="s">
        <v>337</v>
      </c>
      <c r="S20" s="98" t="s">
        <v>352</v>
      </c>
      <c r="T20" s="34"/>
      <c r="U20" s="4">
        <v>500</v>
      </c>
      <c r="V20" s="4">
        <v>2000</v>
      </c>
    </row>
    <row r="21" spans="2:22" x14ac:dyDescent="0.25">
      <c r="B21" s="99"/>
      <c r="C21" s="99"/>
      <c r="D21" s="5"/>
      <c r="E21" s="5"/>
      <c r="F21" s="5"/>
      <c r="H21" s="99"/>
      <c r="I21" s="99"/>
      <c r="J21" s="35"/>
      <c r="K21" s="33" t="s">
        <v>320</v>
      </c>
      <c r="L21" s="33" t="s">
        <v>320</v>
      </c>
      <c r="M21" s="33"/>
      <c r="R21" s="99"/>
      <c r="S21" s="99"/>
      <c r="T21" s="35"/>
      <c r="U21" s="5" t="s">
        <v>338</v>
      </c>
      <c r="V21" s="5" t="s">
        <v>338</v>
      </c>
    </row>
    <row r="22" spans="2:22" ht="18.75" x14ac:dyDescent="0.25">
      <c r="B22" s="98"/>
      <c r="C22" s="98"/>
      <c r="D22" s="4"/>
      <c r="E22" s="4"/>
      <c r="F22" s="4"/>
      <c r="H22" s="98" t="s">
        <v>354</v>
      </c>
      <c r="I22" s="98" t="s">
        <v>355</v>
      </c>
      <c r="J22" s="35"/>
      <c r="K22" s="4">
        <v>500</v>
      </c>
      <c r="L22" s="4">
        <v>2000</v>
      </c>
      <c r="M22" s="4"/>
      <c r="R22" s="98" t="s">
        <v>339</v>
      </c>
      <c r="S22" s="98" t="s">
        <v>353</v>
      </c>
      <c r="T22" s="34"/>
      <c r="U22" s="4">
        <v>500</v>
      </c>
      <c r="V22" s="4">
        <v>2000</v>
      </c>
    </row>
    <row r="23" spans="2:22" x14ac:dyDescent="0.25">
      <c r="B23" s="99"/>
      <c r="C23" s="99"/>
      <c r="D23" s="5"/>
      <c r="E23" s="5"/>
      <c r="F23" s="5"/>
      <c r="H23" s="99"/>
      <c r="I23" s="99"/>
      <c r="J23" s="35"/>
      <c r="K23" s="33" t="s">
        <v>356</v>
      </c>
      <c r="L23" s="33" t="s">
        <v>356</v>
      </c>
      <c r="M23" s="33"/>
      <c r="R23" s="99"/>
      <c r="S23" s="99"/>
      <c r="T23" s="35"/>
      <c r="U23" s="5" t="s">
        <v>340</v>
      </c>
      <c r="V23" s="5" t="s">
        <v>340</v>
      </c>
    </row>
    <row r="24" spans="2:22" ht="18.75" x14ac:dyDescent="0.25">
      <c r="B24" s="98"/>
      <c r="C24" s="98"/>
      <c r="D24" s="4"/>
      <c r="E24" s="4"/>
      <c r="F24" s="4"/>
      <c r="H24" s="3"/>
      <c r="I24" s="3"/>
      <c r="J24" s="3"/>
      <c r="K24" s="3"/>
      <c r="L24" s="3"/>
      <c r="M24" s="4"/>
      <c r="R24" s="98"/>
      <c r="S24" s="98"/>
      <c r="T24" s="34"/>
      <c r="U24" s="4"/>
      <c r="V24" s="4"/>
    </row>
    <row r="25" spans="2:22" x14ac:dyDescent="0.25">
      <c r="B25" s="99"/>
      <c r="C25" s="99"/>
      <c r="D25" s="5"/>
      <c r="E25" s="5"/>
      <c r="F25" s="5"/>
      <c r="H25" s="3"/>
      <c r="I25" s="3"/>
      <c r="J25" s="3"/>
      <c r="K25" s="3"/>
      <c r="L25" s="3"/>
      <c r="M25" s="5"/>
      <c r="R25" s="99"/>
      <c r="S25" s="99"/>
      <c r="T25" s="5"/>
      <c r="U25" s="5"/>
      <c r="V25" s="5"/>
    </row>
    <row r="26" spans="2:22" ht="18.75" x14ac:dyDescent="0.25">
      <c r="B26" s="98"/>
      <c r="C26" s="98"/>
      <c r="D26" s="4"/>
      <c r="E26" s="4"/>
      <c r="F26" s="4"/>
      <c r="H26" s="98"/>
      <c r="I26" s="98"/>
      <c r="J26" s="4"/>
      <c r="K26" s="4"/>
      <c r="L26" s="4"/>
      <c r="M26" s="4"/>
      <c r="R26" s="98"/>
      <c r="S26" s="98"/>
      <c r="T26" s="4"/>
      <c r="U26" s="4"/>
      <c r="V26" s="4"/>
    </row>
    <row r="27" spans="2:22" x14ac:dyDescent="0.25">
      <c r="B27" s="99"/>
      <c r="C27" s="99"/>
      <c r="D27" s="6"/>
      <c r="E27" s="5"/>
      <c r="F27" s="5"/>
      <c r="H27" s="99"/>
      <c r="I27" s="99"/>
      <c r="J27" s="6"/>
      <c r="K27" s="5"/>
      <c r="L27" s="5"/>
      <c r="M27" s="5"/>
      <c r="R27" s="99"/>
      <c r="S27" s="99"/>
      <c r="T27" s="6"/>
      <c r="U27" s="5"/>
      <c r="V27" s="5"/>
    </row>
    <row r="28" spans="2:22" ht="18.75" x14ac:dyDescent="0.25">
      <c r="B28" s="98"/>
      <c r="C28" s="98"/>
      <c r="D28" s="4"/>
      <c r="E28" s="4"/>
      <c r="F28" s="4"/>
      <c r="H28" s="98"/>
      <c r="I28" s="98"/>
      <c r="J28" s="4"/>
      <c r="K28" s="4"/>
      <c r="L28" s="4"/>
      <c r="M28" s="4"/>
      <c r="R28" s="98"/>
      <c r="S28" s="98"/>
      <c r="T28" s="4"/>
      <c r="U28" s="4"/>
      <c r="V28" s="4"/>
    </row>
    <row r="29" spans="2:22" x14ac:dyDescent="0.25">
      <c r="B29" s="99"/>
      <c r="C29" s="99"/>
      <c r="D29" s="6"/>
      <c r="E29" s="5"/>
      <c r="F29" s="5"/>
      <c r="H29" s="99"/>
      <c r="I29" s="99"/>
      <c r="J29" s="6"/>
      <c r="K29" s="5"/>
      <c r="L29" s="5"/>
      <c r="M29" s="5"/>
      <c r="R29" s="99"/>
      <c r="S29" s="99"/>
      <c r="T29" s="6"/>
      <c r="U29" s="5"/>
      <c r="V29" s="5"/>
    </row>
    <row r="30" spans="2:22" ht="18.75" x14ac:dyDescent="0.25">
      <c r="B30" s="98"/>
      <c r="C30" s="98"/>
      <c r="D30" s="4"/>
      <c r="E30" s="4"/>
      <c r="F30" s="4"/>
      <c r="H30" s="98"/>
      <c r="I30" s="98"/>
      <c r="J30" s="4"/>
      <c r="K30" s="4"/>
      <c r="L30" s="4"/>
      <c r="M30" s="4"/>
      <c r="R30" s="98"/>
      <c r="S30" s="98"/>
      <c r="T30" s="4"/>
      <c r="U30" s="4"/>
      <c r="V30" s="4"/>
    </row>
    <row r="31" spans="2:22" x14ac:dyDescent="0.25">
      <c r="B31" s="99"/>
      <c r="C31" s="99"/>
      <c r="D31" s="6"/>
      <c r="E31" s="5"/>
      <c r="F31" s="5"/>
      <c r="H31" s="99"/>
      <c r="I31" s="99"/>
      <c r="J31" s="6"/>
      <c r="K31" s="5"/>
      <c r="L31" s="5"/>
      <c r="M31" s="5"/>
      <c r="R31" s="99"/>
      <c r="S31" s="99"/>
      <c r="T31" s="6"/>
      <c r="U31" s="5"/>
      <c r="V31" s="5"/>
    </row>
    <row r="32" spans="2:22" ht="18.75" x14ac:dyDescent="0.25">
      <c r="B32" s="98"/>
      <c r="C32" s="98"/>
      <c r="D32" s="4"/>
      <c r="E32" s="4"/>
      <c r="F32" s="4"/>
      <c r="H32" s="98"/>
      <c r="I32" s="98"/>
      <c r="J32" s="4"/>
      <c r="K32" s="4"/>
      <c r="L32" s="4"/>
      <c r="M32" s="4"/>
      <c r="R32" s="98"/>
      <c r="S32" s="98"/>
      <c r="T32" s="4"/>
      <c r="U32" s="4"/>
      <c r="V32" s="4"/>
    </row>
    <row r="33" spans="2:22" x14ac:dyDescent="0.25">
      <c r="B33" s="99"/>
      <c r="C33" s="99"/>
      <c r="D33" s="6"/>
      <c r="E33" s="6"/>
      <c r="F33" s="6"/>
      <c r="H33" s="99"/>
      <c r="I33" s="99"/>
      <c r="J33" s="6"/>
      <c r="K33" s="6"/>
      <c r="L33" s="6"/>
      <c r="M33" s="6"/>
      <c r="R33" s="99"/>
      <c r="S33" s="99"/>
      <c r="T33" s="6"/>
      <c r="U33" s="6"/>
      <c r="V33" s="6"/>
    </row>
    <row r="34" spans="2:22" ht="18.75" x14ac:dyDescent="0.25">
      <c r="B34" s="98"/>
      <c r="C34" s="98"/>
      <c r="D34" s="4"/>
      <c r="E34" s="4"/>
      <c r="F34" s="4"/>
      <c r="H34" s="98"/>
      <c r="I34" s="98"/>
      <c r="J34" s="4"/>
      <c r="K34" s="4"/>
      <c r="L34" s="4"/>
      <c r="M34" s="4"/>
      <c r="R34" s="98"/>
      <c r="S34" s="98"/>
      <c r="T34" s="4"/>
      <c r="U34" s="4"/>
      <c r="V34" s="4"/>
    </row>
    <row r="35" spans="2:22" x14ac:dyDescent="0.25">
      <c r="B35" s="99"/>
      <c r="C35" s="99"/>
      <c r="D35" s="6"/>
      <c r="E35" s="6"/>
      <c r="F35" s="6"/>
      <c r="H35" s="99"/>
      <c r="I35" s="99"/>
      <c r="J35" s="6"/>
      <c r="K35" s="6"/>
      <c r="L35" s="6"/>
      <c r="M35" s="6"/>
      <c r="R35" s="99"/>
      <c r="S35" s="99"/>
      <c r="T35" s="6"/>
      <c r="U35" s="6"/>
      <c r="V35" s="6"/>
    </row>
    <row r="36" spans="2:22" ht="18.75" x14ac:dyDescent="0.25">
      <c r="B36" s="98"/>
      <c r="C36" s="98"/>
      <c r="D36" s="4"/>
      <c r="E36" s="4"/>
      <c r="F36" s="4"/>
      <c r="H36" s="98"/>
      <c r="I36" s="98"/>
      <c r="J36" s="4"/>
      <c r="K36" s="4"/>
      <c r="L36" s="4"/>
      <c r="M36" s="4"/>
      <c r="R36" s="98"/>
      <c r="S36" s="98"/>
      <c r="T36" s="4"/>
      <c r="U36" s="4"/>
      <c r="V36" s="4"/>
    </row>
    <row r="37" spans="2:22" x14ac:dyDescent="0.25">
      <c r="B37" s="99"/>
      <c r="C37" s="99"/>
      <c r="D37" s="6"/>
      <c r="E37" s="6"/>
      <c r="F37" s="6"/>
      <c r="H37" s="99"/>
      <c r="I37" s="99"/>
      <c r="J37" s="6"/>
      <c r="K37" s="6"/>
      <c r="L37" s="6"/>
      <c r="M37" s="6"/>
      <c r="R37" s="99"/>
      <c r="S37" s="99"/>
      <c r="T37" s="6"/>
      <c r="U37" s="6"/>
      <c r="V37" s="6"/>
    </row>
    <row r="38" spans="2:22" ht="18.75" x14ac:dyDescent="0.25">
      <c r="B38" s="98"/>
      <c r="C38" s="98"/>
      <c r="D38" s="4"/>
      <c r="E38" s="4"/>
      <c r="F38" s="4"/>
      <c r="H38" s="98"/>
      <c r="I38" s="98"/>
      <c r="J38" s="4"/>
      <c r="K38" s="4"/>
      <c r="L38" s="4"/>
      <c r="M38" s="4"/>
      <c r="R38" s="98"/>
      <c r="S38" s="98"/>
      <c r="T38" s="4"/>
      <c r="U38" s="4"/>
      <c r="V38" s="4"/>
    </row>
    <row r="39" spans="2:22" x14ac:dyDescent="0.25">
      <c r="B39" s="99"/>
      <c r="C39" s="99"/>
      <c r="D39" s="6"/>
      <c r="E39" s="6"/>
      <c r="F39" s="6"/>
      <c r="H39" s="99"/>
      <c r="I39" s="99"/>
      <c r="J39" s="6"/>
      <c r="K39" s="6"/>
      <c r="L39" s="6"/>
      <c r="M39" s="6"/>
      <c r="R39" s="99"/>
      <c r="S39" s="99"/>
      <c r="T39" s="6"/>
      <c r="U39" s="6"/>
      <c r="V39" s="6"/>
    </row>
    <row r="40" spans="2:22" x14ac:dyDescent="0.25">
      <c r="B40" s="154" t="s">
        <v>149</v>
      </c>
      <c r="C40" s="14"/>
      <c r="D40" s="154">
        <f>SUM(D4:D27)</f>
        <v>0</v>
      </c>
      <c r="E40" s="154">
        <f>SUM(E4+E6+E8+E10+E12+E14+E16)</f>
        <v>3500</v>
      </c>
      <c r="F40" s="154">
        <f>SUM(F4:F27)</f>
        <v>14000</v>
      </c>
      <c r="H40" s="154" t="s">
        <v>149</v>
      </c>
      <c r="I40" s="14"/>
      <c r="J40" s="154">
        <f>SUM(J4:J27)</f>
        <v>0</v>
      </c>
      <c r="K40" s="154">
        <f>SUM(K4+K6+K8+K10+K12+K14+K16+K18+K20+K22)</f>
        <v>5000</v>
      </c>
      <c r="L40" s="14"/>
      <c r="M40" s="154">
        <f>SUM(M4:M27)</f>
        <v>0</v>
      </c>
      <c r="R40" s="154" t="s">
        <v>149</v>
      </c>
      <c r="S40" s="14"/>
      <c r="T40" s="154">
        <f>SUM(T4:T27)</f>
        <v>0</v>
      </c>
      <c r="U40" s="154">
        <f>SUM(U4+U6+U8+U10+U12+U14+U16+U18+U20+U22)</f>
        <v>5000</v>
      </c>
      <c r="V40" s="154">
        <f>SUM(V4:V27)</f>
        <v>20000</v>
      </c>
    </row>
    <row r="41" spans="2:22" x14ac:dyDescent="0.25">
      <c r="B41" s="155"/>
      <c r="C41" s="15"/>
      <c r="D41" s="155"/>
      <c r="E41" s="155"/>
      <c r="F41" s="155"/>
      <c r="H41" s="155"/>
      <c r="I41" s="15"/>
      <c r="J41" s="155"/>
      <c r="K41" s="155"/>
      <c r="L41" s="15"/>
      <c r="M41" s="155"/>
      <c r="R41" s="155"/>
      <c r="S41" s="15"/>
      <c r="T41" s="155"/>
      <c r="U41" s="155"/>
      <c r="V41" s="155"/>
    </row>
    <row r="44" spans="2:22" ht="30" customHeight="1" x14ac:dyDescent="0.25"/>
    <row r="45" spans="2:22" ht="32.25" customHeight="1" x14ac:dyDescent="0.25">
      <c r="B45" s="248" t="s">
        <v>703</v>
      </c>
      <c r="C45" s="249"/>
      <c r="D45" s="249"/>
      <c r="E45" s="249"/>
      <c r="F45" s="250"/>
      <c r="H45" s="251" t="s">
        <v>702</v>
      </c>
      <c r="I45" s="251"/>
      <c r="J45" s="251"/>
      <c r="K45" s="251"/>
      <c r="L45" s="251"/>
      <c r="M45" s="251"/>
    </row>
    <row r="46" spans="2:22" ht="30" customHeight="1" x14ac:dyDescent="0.25">
      <c r="B46" s="17" t="s">
        <v>145</v>
      </c>
      <c r="C46" s="17" t="s">
        <v>278</v>
      </c>
      <c r="D46" s="17" t="s">
        <v>146</v>
      </c>
      <c r="E46" s="17" t="s">
        <v>147</v>
      </c>
      <c r="F46" s="17" t="s">
        <v>148</v>
      </c>
      <c r="H46" s="247"/>
      <c r="I46" s="247"/>
      <c r="J46" s="247"/>
      <c r="K46" s="247"/>
      <c r="L46" s="247"/>
      <c r="M46" s="247"/>
    </row>
    <row r="47" spans="2:22" ht="27" customHeight="1" x14ac:dyDescent="0.25">
      <c r="B47" s="98" t="s">
        <v>284</v>
      </c>
      <c r="C47" s="98" t="s">
        <v>285</v>
      </c>
      <c r="D47" s="66"/>
      <c r="E47" s="29"/>
      <c r="F47" s="31"/>
      <c r="H47" s="17" t="s">
        <v>145</v>
      </c>
      <c r="I47" s="17" t="s">
        <v>278</v>
      </c>
      <c r="J47" s="17" t="s">
        <v>146</v>
      </c>
      <c r="K47" s="17" t="s">
        <v>147</v>
      </c>
      <c r="L47" s="17"/>
      <c r="M47" s="17" t="s">
        <v>148</v>
      </c>
      <c r="R47" s="251" t="s">
        <v>701</v>
      </c>
      <c r="S47" s="251"/>
      <c r="T47" s="251"/>
      <c r="U47" s="251"/>
      <c r="V47" s="251"/>
    </row>
    <row r="48" spans="2:22" ht="21" customHeight="1" x14ac:dyDescent="0.25">
      <c r="B48" s="99"/>
      <c r="C48" s="99"/>
      <c r="D48" s="5"/>
      <c r="E48" s="30"/>
      <c r="F48" s="32"/>
      <c r="H48" s="98" t="s">
        <v>287</v>
      </c>
      <c r="I48" s="98" t="s">
        <v>341</v>
      </c>
      <c r="J48" s="66"/>
      <c r="K48" s="4"/>
      <c r="L48" s="4"/>
      <c r="M48" s="4"/>
      <c r="R48" s="247"/>
      <c r="S48" s="247"/>
      <c r="T48" s="247"/>
      <c r="U48" s="247"/>
      <c r="V48" s="247"/>
    </row>
    <row r="49" spans="2:22" ht="18.75" x14ac:dyDescent="0.25">
      <c r="B49" s="98" t="s">
        <v>291</v>
      </c>
      <c r="C49" s="98" t="s">
        <v>344</v>
      </c>
      <c r="D49" s="66"/>
      <c r="E49" s="29"/>
      <c r="F49" s="31"/>
      <c r="H49" s="99"/>
      <c r="I49" s="99"/>
      <c r="J49" s="5"/>
      <c r="K49" s="33"/>
      <c r="L49" s="33"/>
      <c r="M49" s="33"/>
      <c r="R49" s="17" t="s">
        <v>145</v>
      </c>
      <c r="S49" s="17" t="s">
        <v>278</v>
      </c>
      <c r="T49" s="17" t="s">
        <v>146</v>
      </c>
      <c r="U49" s="17" t="s">
        <v>147</v>
      </c>
      <c r="V49" s="17" t="s">
        <v>148</v>
      </c>
    </row>
    <row r="50" spans="2:22" ht="18.75" x14ac:dyDescent="0.25">
      <c r="B50" s="99"/>
      <c r="C50" s="99"/>
      <c r="D50" s="5"/>
      <c r="E50" s="30"/>
      <c r="F50" s="32"/>
      <c r="H50" s="98" t="s">
        <v>289</v>
      </c>
      <c r="I50" s="98" t="s">
        <v>342</v>
      </c>
      <c r="J50" s="66"/>
      <c r="K50" s="4"/>
      <c r="L50" s="4"/>
      <c r="M50" s="4"/>
      <c r="R50" s="98" t="s">
        <v>277</v>
      </c>
      <c r="S50" s="98" t="s">
        <v>279</v>
      </c>
      <c r="T50" s="34"/>
      <c r="U50" s="4"/>
      <c r="V50" s="4"/>
    </row>
    <row r="51" spans="2:22" ht="18.75" x14ac:dyDescent="0.25">
      <c r="B51" s="98" t="s">
        <v>295</v>
      </c>
      <c r="C51" s="98" t="s">
        <v>296</v>
      </c>
      <c r="D51" s="66"/>
      <c r="E51" s="29"/>
      <c r="F51" s="31"/>
      <c r="H51" s="99"/>
      <c r="I51" s="99"/>
      <c r="J51" s="5"/>
      <c r="K51" s="33"/>
      <c r="L51" s="33"/>
      <c r="M51" s="33"/>
      <c r="R51" s="99"/>
      <c r="S51" s="99"/>
      <c r="T51" s="36"/>
      <c r="U51" s="6"/>
      <c r="V51" s="6"/>
    </row>
    <row r="52" spans="2:22" ht="18.75" x14ac:dyDescent="0.25">
      <c r="B52" s="99"/>
      <c r="C52" s="99"/>
      <c r="D52" s="5"/>
      <c r="E52" s="30"/>
      <c r="F52" s="32"/>
      <c r="H52" s="98" t="s">
        <v>293</v>
      </c>
      <c r="I52" s="98" t="s">
        <v>343</v>
      </c>
      <c r="J52" s="66"/>
      <c r="K52" s="4"/>
      <c r="L52" s="4"/>
      <c r="M52" s="4"/>
      <c r="R52" s="98" t="s">
        <v>281</v>
      </c>
      <c r="S52" s="98" t="s">
        <v>282</v>
      </c>
      <c r="T52" s="34"/>
      <c r="U52" s="4"/>
      <c r="V52" s="4"/>
    </row>
    <row r="53" spans="2:22" ht="18.75" x14ac:dyDescent="0.25">
      <c r="B53" s="98" t="s">
        <v>301</v>
      </c>
      <c r="C53" s="98" t="s">
        <v>302</v>
      </c>
      <c r="D53" s="66"/>
      <c r="E53" s="29"/>
      <c r="F53" s="31"/>
      <c r="H53" s="99"/>
      <c r="I53" s="99"/>
      <c r="J53" s="5"/>
      <c r="K53" s="33"/>
      <c r="L53" s="33"/>
      <c r="M53" s="33"/>
      <c r="R53" s="99"/>
      <c r="S53" s="99"/>
      <c r="T53" s="35"/>
      <c r="U53" s="5"/>
      <c r="V53" s="5"/>
    </row>
    <row r="54" spans="2:22" ht="18.75" x14ac:dyDescent="0.25">
      <c r="B54" s="99"/>
      <c r="C54" s="99"/>
      <c r="D54" s="6"/>
      <c r="E54" s="30"/>
      <c r="F54" s="32"/>
      <c r="H54" s="98" t="s">
        <v>298</v>
      </c>
      <c r="I54" s="98" t="s">
        <v>299</v>
      </c>
      <c r="J54" s="66"/>
      <c r="K54" s="4"/>
      <c r="L54" s="4"/>
      <c r="M54" s="4"/>
      <c r="R54" s="98" t="s">
        <v>323</v>
      </c>
      <c r="S54" s="98" t="s">
        <v>350</v>
      </c>
      <c r="T54" s="34"/>
      <c r="U54" s="4"/>
      <c r="V54" s="4"/>
    </row>
    <row r="55" spans="2:22" ht="18.75" x14ac:dyDescent="0.25">
      <c r="B55" s="98" t="s">
        <v>311</v>
      </c>
      <c r="C55" s="98" t="s">
        <v>309</v>
      </c>
      <c r="D55" s="66"/>
      <c r="E55" s="29"/>
      <c r="F55" s="31"/>
      <c r="H55" s="99"/>
      <c r="I55" s="99"/>
      <c r="J55" s="6"/>
      <c r="K55" s="33"/>
      <c r="L55" s="33"/>
      <c r="M55" s="33"/>
      <c r="R55" s="99"/>
      <c r="S55" s="99"/>
      <c r="T55" s="35"/>
      <c r="U55" s="5"/>
      <c r="V55" s="5"/>
    </row>
    <row r="56" spans="2:22" ht="18.75" x14ac:dyDescent="0.25">
      <c r="B56" s="99"/>
      <c r="C56" s="99"/>
      <c r="D56" s="6"/>
      <c r="E56" s="30"/>
      <c r="F56" s="32"/>
      <c r="H56" s="98" t="s">
        <v>304</v>
      </c>
      <c r="I56" s="98" t="s">
        <v>345</v>
      </c>
      <c r="J56" s="66"/>
      <c r="K56" s="4"/>
      <c r="L56" s="4"/>
      <c r="M56" s="4"/>
      <c r="R56" s="98" t="s">
        <v>325</v>
      </c>
      <c r="S56" s="98" t="s">
        <v>326</v>
      </c>
      <c r="T56" s="34"/>
      <c r="U56" s="4"/>
      <c r="V56" s="4"/>
    </row>
    <row r="57" spans="2:22" ht="18.75" x14ac:dyDescent="0.25">
      <c r="B57" s="98" t="s">
        <v>313</v>
      </c>
      <c r="C57" s="98" t="s">
        <v>314</v>
      </c>
      <c r="D57" s="66"/>
      <c r="E57" s="29"/>
      <c r="F57" s="31"/>
      <c r="H57" s="99"/>
      <c r="I57" s="99"/>
      <c r="J57" s="6"/>
      <c r="K57" s="33"/>
      <c r="L57" s="33"/>
      <c r="M57" s="33"/>
      <c r="R57" s="99"/>
      <c r="S57" s="99"/>
      <c r="T57" s="36"/>
      <c r="U57" s="5"/>
      <c r="V57" s="5"/>
    </row>
    <row r="58" spans="2:22" ht="18.75" x14ac:dyDescent="0.25">
      <c r="B58" s="99"/>
      <c r="C58" s="99"/>
      <c r="D58" s="5"/>
      <c r="E58" s="30"/>
      <c r="F58" s="32"/>
      <c r="H58" s="98" t="s">
        <v>306</v>
      </c>
      <c r="I58" s="98" t="s">
        <v>190</v>
      </c>
      <c r="J58" s="66"/>
      <c r="K58" s="4"/>
      <c r="L58" s="4"/>
      <c r="M58" s="4"/>
      <c r="R58" s="98" t="s">
        <v>328</v>
      </c>
      <c r="S58" s="98" t="s">
        <v>329</v>
      </c>
      <c r="T58" s="34"/>
      <c r="U58" s="4"/>
      <c r="V58" s="4"/>
    </row>
    <row r="59" spans="2:22" ht="18.75" x14ac:dyDescent="0.25">
      <c r="B59" s="98" t="s">
        <v>321</v>
      </c>
      <c r="C59" s="98" t="s">
        <v>349</v>
      </c>
      <c r="D59" s="66"/>
      <c r="E59" s="29"/>
      <c r="F59" s="31"/>
      <c r="H59" s="99"/>
      <c r="I59" s="99"/>
      <c r="J59" s="5"/>
      <c r="K59" s="33"/>
      <c r="L59" s="33"/>
      <c r="M59" s="33"/>
      <c r="R59" s="99"/>
      <c r="S59" s="99"/>
      <c r="T59" s="36"/>
      <c r="U59" s="5"/>
      <c r="V59" s="5"/>
    </row>
    <row r="60" spans="2:22" ht="18.75" x14ac:dyDescent="0.25">
      <c r="B60" s="99"/>
      <c r="C60" s="99"/>
      <c r="D60" s="5"/>
      <c r="E60" s="30"/>
      <c r="F60" s="32"/>
      <c r="H60" s="98" t="s">
        <v>308</v>
      </c>
      <c r="I60" s="98" t="s">
        <v>309</v>
      </c>
      <c r="J60" s="66"/>
      <c r="K60" s="4"/>
      <c r="L60" s="4"/>
      <c r="M60" s="4"/>
      <c r="R60" s="98" t="s">
        <v>331</v>
      </c>
      <c r="S60" s="98" t="s">
        <v>332</v>
      </c>
      <c r="T60" s="34"/>
      <c r="U60" s="4"/>
      <c r="V60" s="4"/>
    </row>
    <row r="61" spans="2:22" ht="18.75" x14ac:dyDescent="0.25">
      <c r="B61" s="98"/>
      <c r="C61" s="98"/>
      <c r="D61" s="4"/>
      <c r="E61" s="4"/>
      <c r="F61" s="31"/>
      <c r="H61" s="99"/>
      <c r="I61" s="99"/>
      <c r="J61" s="5"/>
      <c r="K61" s="33"/>
      <c r="L61" s="33"/>
      <c r="M61" s="33"/>
      <c r="R61" s="99"/>
      <c r="S61" s="99"/>
      <c r="T61" s="35"/>
      <c r="U61" s="5"/>
      <c r="V61" s="5"/>
    </row>
    <row r="62" spans="2:22" ht="18.75" x14ac:dyDescent="0.25">
      <c r="B62" s="99"/>
      <c r="C62" s="99"/>
      <c r="D62" s="5"/>
      <c r="E62" s="5"/>
      <c r="F62" s="5"/>
      <c r="H62" s="98" t="s">
        <v>315</v>
      </c>
      <c r="I62" s="98" t="s">
        <v>316</v>
      </c>
      <c r="J62" s="66"/>
      <c r="K62" s="4"/>
      <c r="L62" s="4"/>
      <c r="M62" s="4"/>
      <c r="R62" s="98" t="s">
        <v>334</v>
      </c>
      <c r="S62" s="98" t="s">
        <v>351</v>
      </c>
      <c r="T62" s="34"/>
      <c r="U62" s="4"/>
      <c r="V62" s="4"/>
    </row>
    <row r="63" spans="2:22" ht="18.75" x14ac:dyDescent="0.25">
      <c r="B63" s="98"/>
      <c r="C63" s="98"/>
      <c r="D63" s="4"/>
      <c r="E63" s="4"/>
      <c r="F63" s="4"/>
      <c r="H63" s="99"/>
      <c r="I63" s="99"/>
      <c r="J63" s="5"/>
      <c r="K63" s="33"/>
      <c r="L63" s="33"/>
      <c r="M63" s="33"/>
      <c r="R63" s="99"/>
      <c r="S63" s="99"/>
      <c r="T63" s="35"/>
      <c r="U63" s="5"/>
      <c r="V63" s="5"/>
    </row>
    <row r="64" spans="2:22" ht="18.75" x14ac:dyDescent="0.25">
      <c r="B64" s="99"/>
      <c r="C64" s="99"/>
      <c r="D64" s="5"/>
      <c r="E64" s="5"/>
      <c r="F64" s="5"/>
      <c r="H64" s="98" t="s">
        <v>318</v>
      </c>
      <c r="I64" s="98" t="s">
        <v>319</v>
      </c>
      <c r="J64" s="66"/>
      <c r="K64" s="4"/>
      <c r="L64" s="4"/>
      <c r="M64" s="4"/>
      <c r="R64" s="98" t="s">
        <v>336</v>
      </c>
      <c r="S64" s="98" t="s">
        <v>352</v>
      </c>
      <c r="T64" s="34"/>
      <c r="U64" s="4"/>
      <c r="V64" s="4"/>
    </row>
    <row r="65" spans="2:22" ht="18.75" x14ac:dyDescent="0.25">
      <c r="B65" s="98"/>
      <c r="C65" s="98"/>
      <c r="D65" s="4"/>
      <c r="E65" s="4"/>
      <c r="F65" s="4"/>
      <c r="H65" s="99"/>
      <c r="I65" s="99"/>
      <c r="J65" s="5"/>
      <c r="K65" s="33"/>
      <c r="L65" s="33"/>
      <c r="M65" s="33"/>
      <c r="R65" s="99"/>
      <c r="S65" s="99"/>
      <c r="T65" s="35"/>
      <c r="U65" s="5"/>
      <c r="V65" s="5"/>
    </row>
    <row r="66" spans="2:22" ht="18.75" x14ac:dyDescent="0.25">
      <c r="B66" s="99"/>
      <c r="C66" s="99"/>
      <c r="D66" s="5"/>
      <c r="E66" s="5"/>
      <c r="F66" s="5"/>
      <c r="H66" s="98" t="s">
        <v>354</v>
      </c>
      <c r="I66" s="98" t="s">
        <v>355</v>
      </c>
      <c r="J66" s="5"/>
      <c r="K66" s="4"/>
      <c r="L66" s="4"/>
      <c r="M66" s="4"/>
      <c r="R66" s="98" t="s">
        <v>337</v>
      </c>
      <c r="S66" s="98" t="s">
        <v>352</v>
      </c>
      <c r="T66" s="34"/>
      <c r="U66" s="4"/>
      <c r="V66" s="4"/>
    </row>
    <row r="67" spans="2:22" ht="18.75" x14ac:dyDescent="0.25">
      <c r="B67" s="98"/>
      <c r="C67" s="98"/>
      <c r="D67" s="4"/>
      <c r="E67" s="4"/>
      <c r="F67" s="4"/>
      <c r="H67" s="99"/>
      <c r="I67" s="99"/>
      <c r="J67" s="5"/>
      <c r="K67" s="33"/>
      <c r="L67" s="33"/>
      <c r="M67" s="33"/>
      <c r="R67" s="99"/>
      <c r="S67" s="99"/>
      <c r="T67" s="35"/>
      <c r="U67" s="5"/>
      <c r="V67" s="5"/>
    </row>
    <row r="68" spans="2:22" ht="18.75" x14ac:dyDescent="0.25">
      <c r="B68" s="99"/>
      <c r="C68" s="99"/>
      <c r="D68" s="5"/>
      <c r="E68" s="5"/>
      <c r="F68" s="5"/>
      <c r="H68" s="98"/>
      <c r="I68" s="98"/>
      <c r="J68" s="4"/>
      <c r="K68" s="4"/>
      <c r="L68" s="4"/>
      <c r="M68" s="4"/>
      <c r="R68" s="98" t="s">
        <v>339</v>
      </c>
      <c r="S68" s="98" t="s">
        <v>353</v>
      </c>
      <c r="T68" s="34"/>
      <c r="U68" s="4"/>
      <c r="V68" s="4"/>
    </row>
    <row r="69" spans="2:22" ht="18.75" x14ac:dyDescent="0.25">
      <c r="B69" s="98"/>
      <c r="C69" s="98"/>
      <c r="D69" s="4"/>
      <c r="E69" s="4"/>
      <c r="F69" s="4"/>
      <c r="H69" s="99"/>
      <c r="I69" s="99"/>
      <c r="J69" s="5"/>
      <c r="K69" s="5"/>
      <c r="L69" s="5"/>
      <c r="M69" s="5"/>
      <c r="R69" s="99"/>
      <c r="S69" s="99"/>
      <c r="T69" s="35"/>
      <c r="U69" s="5"/>
      <c r="V69" s="5"/>
    </row>
    <row r="70" spans="2:22" ht="18.75" x14ac:dyDescent="0.25">
      <c r="B70" s="99"/>
      <c r="C70" s="99"/>
      <c r="D70" s="6"/>
      <c r="E70" s="5"/>
      <c r="F70" s="5"/>
      <c r="H70" s="98"/>
      <c r="I70" s="98"/>
      <c r="J70" s="4"/>
      <c r="K70" s="4"/>
      <c r="L70" s="4"/>
      <c r="M70" s="4"/>
      <c r="R70" s="98"/>
      <c r="S70" s="98"/>
      <c r="T70" s="34"/>
      <c r="U70" s="4"/>
      <c r="V70" s="4"/>
    </row>
    <row r="71" spans="2:22" ht="18.75" x14ac:dyDescent="0.25">
      <c r="B71" s="98"/>
      <c r="C71" s="98"/>
      <c r="D71" s="4"/>
      <c r="E71" s="4"/>
      <c r="F71" s="4"/>
      <c r="H71" s="99"/>
      <c r="I71" s="99"/>
      <c r="J71" s="6"/>
      <c r="K71" s="5"/>
      <c r="L71" s="5"/>
      <c r="M71" s="5"/>
      <c r="R71" s="99"/>
      <c r="S71" s="99"/>
      <c r="T71" s="5"/>
      <c r="U71" s="5"/>
      <c r="V71" s="5"/>
    </row>
    <row r="72" spans="2:22" ht="18.75" x14ac:dyDescent="0.25">
      <c r="B72" s="99"/>
      <c r="C72" s="99"/>
      <c r="D72" s="6"/>
      <c r="E72" s="5"/>
      <c r="F72" s="5"/>
      <c r="H72" s="98"/>
      <c r="I72" s="98"/>
      <c r="J72" s="4"/>
      <c r="K72" s="4"/>
      <c r="L72" s="4"/>
      <c r="M72" s="4"/>
      <c r="R72" s="98"/>
      <c r="S72" s="98"/>
      <c r="T72" s="4"/>
      <c r="U72" s="4"/>
      <c r="V72" s="4"/>
    </row>
    <row r="73" spans="2:22" ht="18.75" x14ac:dyDescent="0.25">
      <c r="B73" s="98"/>
      <c r="C73" s="98"/>
      <c r="D73" s="4"/>
      <c r="E73" s="4"/>
      <c r="F73" s="4"/>
      <c r="H73" s="99"/>
      <c r="I73" s="99"/>
      <c r="J73" s="6"/>
      <c r="K73" s="5"/>
      <c r="L73" s="5"/>
      <c r="M73" s="5"/>
      <c r="R73" s="99"/>
      <c r="S73" s="99"/>
      <c r="T73" s="6"/>
      <c r="U73" s="5"/>
      <c r="V73" s="5"/>
    </row>
    <row r="74" spans="2:22" ht="18.75" x14ac:dyDescent="0.25">
      <c r="B74" s="99"/>
      <c r="C74" s="99"/>
      <c r="D74" s="6"/>
      <c r="E74" s="5"/>
      <c r="F74" s="5"/>
      <c r="H74" s="98"/>
      <c r="I74" s="98"/>
      <c r="J74" s="4"/>
      <c r="K74" s="4"/>
      <c r="L74" s="4"/>
      <c r="M74" s="4"/>
      <c r="R74" s="98"/>
      <c r="S74" s="98"/>
      <c r="T74" s="4"/>
      <c r="U74" s="4"/>
      <c r="V74" s="4"/>
    </row>
    <row r="75" spans="2:22" ht="18.75" x14ac:dyDescent="0.25">
      <c r="B75" s="98"/>
      <c r="C75" s="98"/>
      <c r="D75" s="4"/>
      <c r="E75" s="4"/>
      <c r="F75" s="4"/>
      <c r="H75" s="99"/>
      <c r="I75" s="99"/>
      <c r="J75" s="6"/>
      <c r="K75" s="5"/>
      <c r="L75" s="5"/>
      <c r="M75" s="5"/>
      <c r="R75" s="99"/>
      <c r="S75" s="99"/>
      <c r="T75" s="6"/>
      <c r="U75" s="5"/>
      <c r="V75" s="5"/>
    </row>
    <row r="76" spans="2:22" ht="18.75" x14ac:dyDescent="0.25">
      <c r="B76" s="99"/>
      <c r="C76" s="99"/>
      <c r="D76" s="6"/>
      <c r="E76" s="6"/>
      <c r="F76" s="6"/>
      <c r="H76" s="98"/>
      <c r="I76" s="98"/>
      <c r="J76" s="4"/>
      <c r="K76" s="4"/>
      <c r="L76" s="4"/>
      <c r="M76" s="4"/>
      <c r="R76" s="98"/>
      <c r="S76" s="98"/>
      <c r="T76" s="4"/>
      <c r="U76" s="4"/>
      <c r="V76" s="4"/>
    </row>
    <row r="77" spans="2:22" ht="18.75" x14ac:dyDescent="0.25">
      <c r="B77" s="98"/>
      <c r="C77" s="98"/>
      <c r="D77" s="4"/>
      <c r="E77" s="4"/>
      <c r="F77" s="4"/>
      <c r="H77" s="99"/>
      <c r="I77" s="99"/>
      <c r="J77" s="6"/>
      <c r="K77" s="6"/>
      <c r="L77" s="6"/>
      <c r="M77" s="6"/>
      <c r="R77" s="99"/>
      <c r="S77" s="99"/>
      <c r="T77" s="6"/>
      <c r="U77" s="5"/>
      <c r="V77" s="5"/>
    </row>
    <row r="78" spans="2:22" ht="18.75" x14ac:dyDescent="0.25">
      <c r="B78" s="99"/>
      <c r="C78" s="99"/>
      <c r="D78" s="6"/>
      <c r="E78" s="6"/>
      <c r="F78" s="6"/>
      <c r="H78" s="98"/>
      <c r="I78" s="98"/>
      <c r="J78" s="4"/>
      <c r="K78" s="4"/>
      <c r="L78" s="4"/>
      <c r="M78" s="4"/>
      <c r="R78" s="98"/>
      <c r="S78" s="98"/>
      <c r="T78" s="4"/>
      <c r="U78" s="4"/>
      <c r="V78" s="4"/>
    </row>
    <row r="79" spans="2:22" ht="18.75" x14ac:dyDescent="0.25">
      <c r="B79" s="98"/>
      <c r="C79" s="98"/>
      <c r="D79" s="4"/>
      <c r="E79" s="4"/>
      <c r="F79" s="4"/>
      <c r="H79" s="99"/>
      <c r="I79" s="99"/>
      <c r="J79" s="6"/>
      <c r="K79" s="6"/>
      <c r="L79" s="6"/>
      <c r="M79" s="6"/>
      <c r="R79" s="99"/>
      <c r="S79" s="99"/>
      <c r="T79" s="6"/>
      <c r="U79" s="6"/>
      <c r="V79" s="6"/>
    </row>
    <row r="80" spans="2:22" ht="18.75" x14ac:dyDescent="0.25">
      <c r="B80" s="99"/>
      <c r="C80" s="99"/>
      <c r="D80" s="6"/>
      <c r="E80" s="6"/>
      <c r="F80" s="6"/>
      <c r="H80" s="98"/>
      <c r="I80" s="98"/>
      <c r="J80" s="4"/>
      <c r="K80" s="4"/>
      <c r="L80" s="4"/>
      <c r="M80" s="4"/>
      <c r="R80" s="98"/>
      <c r="S80" s="98"/>
      <c r="T80" s="4"/>
      <c r="U80" s="4"/>
      <c r="V80" s="4"/>
    </row>
    <row r="81" spans="2:22" ht="18.75" x14ac:dyDescent="0.25">
      <c r="B81" s="98"/>
      <c r="C81" s="98"/>
      <c r="D81" s="4"/>
      <c r="E81" s="4"/>
      <c r="F81" s="4"/>
      <c r="H81" s="99"/>
      <c r="I81" s="99"/>
      <c r="J81" s="6"/>
      <c r="K81" s="6"/>
      <c r="L81" s="6"/>
      <c r="M81" s="6"/>
      <c r="R81" s="99"/>
      <c r="S81" s="99"/>
      <c r="T81" s="6"/>
      <c r="U81" s="6"/>
      <c r="V81" s="6"/>
    </row>
    <row r="82" spans="2:22" ht="18.75" x14ac:dyDescent="0.25">
      <c r="B82" s="99"/>
      <c r="C82" s="99"/>
      <c r="D82" s="6"/>
      <c r="E82" s="6"/>
      <c r="F82" s="6"/>
      <c r="H82" s="98"/>
      <c r="I82" s="98"/>
      <c r="J82" s="4"/>
      <c r="K82" s="4"/>
      <c r="L82" s="4"/>
      <c r="M82" s="4"/>
      <c r="R82" s="98"/>
      <c r="S82" s="98"/>
      <c r="T82" s="4"/>
      <c r="U82" s="4"/>
      <c r="V82" s="4"/>
    </row>
    <row r="83" spans="2:22" x14ac:dyDescent="0.25">
      <c r="B83" s="154" t="s">
        <v>149</v>
      </c>
      <c r="C83" s="14"/>
      <c r="D83" s="154">
        <f>SUM(D47:D70)</f>
        <v>0</v>
      </c>
      <c r="E83" s="154">
        <f>SUM(E47+E49+E51+E53+E55+E57+E59)</f>
        <v>0</v>
      </c>
      <c r="F83" s="154">
        <f>SUM(F47:F70)</f>
        <v>0</v>
      </c>
      <c r="H83" s="99"/>
      <c r="I83" s="99"/>
      <c r="J83" s="6"/>
      <c r="K83" s="6"/>
      <c r="L83" s="6"/>
      <c r="M83" s="6"/>
      <c r="R83" s="99"/>
      <c r="S83" s="99"/>
      <c r="T83" s="6"/>
      <c r="U83" s="6"/>
      <c r="V83" s="6"/>
    </row>
    <row r="84" spans="2:22" ht="18.75" x14ac:dyDescent="0.25">
      <c r="B84" s="155"/>
      <c r="C84" s="15"/>
      <c r="D84" s="155"/>
      <c r="E84" s="155"/>
      <c r="F84" s="155"/>
      <c r="H84" s="154" t="s">
        <v>149</v>
      </c>
      <c r="I84" s="14"/>
      <c r="J84" s="154">
        <f>SUM(J48:J71)</f>
        <v>0</v>
      </c>
      <c r="K84" s="154">
        <f>SUM(K48+K50+K52+K54+K56+K58+K60+K62+K64+K66)</f>
        <v>0</v>
      </c>
      <c r="L84" s="14"/>
      <c r="M84" s="154">
        <f>SUM(M48:M71)</f>
        <v>0</v>
      </c>
      <c r="R84" s="98"/>
      <c r="S84" s="98"/>
      <c r="T84" s="4"/>
      <c r="U84" s="4"/>
      <c r="V84" s="4"/>
    </row>
    <row r="85" spans="2:22" x14ac:dyDescent="0.25">
      <c r="H85" s="155"/>
      <c r="I85" s="15"/>
      <c r="J85" s="155"/>
      <c r="K85" s="155"/>
      <c r="L85" s="15"/>
      <c r="M85" s="155"/>
      <c r="R85" s="99"/>
      <c r="S85" s="99"/>
      <c r="T85" s="6"/>
      <c r="U85" s="6"/>
      <c r="V85" s="6"/>
    </row>
    <row r="86" spans="2:22" x14ac:dyDescent="0.25">
      <c r="R86" s="154" t="s">
        <v>149</v>
      </c>
      <c r="S86" s="14"/>
      <c r="T86" s="154">
        <f>SUM(T50:T73)</f>
        <v>0</v>
      </c>
      <c r="U86" s="154">
        <f>SUM(U50+U52+U54+U56+U58+U60+U62+U64+U66+U68)</f>
        <v>0</v>
      </c>
      <c r="V86" s="154">
        <f>SUM(V50:V73)</f>
        <v>0</v>
      </c>
    </row>
    <row r="87" spans="2:22" x14ac:dyDescent="0.25">
      <c r="R87" s="155"/>
      <c r="S87" s="15"/>
      <c r="T87" s="155"/>
      <c r="U87" s="155"/>
      <c r="V87" s="155"/>
    </row>
    <row r="88" spans="2:22" x14ac:dyDescent="0.25">
      <c r="H88" s="251" t="s">
        <v>973</v>
      </c>
      <c r="I88" s="251"/>
      <c r="J88" s="251"/>
      <c r="K88" s="251"/>
      <c r="L88" s="251"/>
      <c r="M88" s="251"/>
    </row>
    <row r="89" spans="2:22" ht="15" customHeight="1" x14ac:dyDescent="0.25">
      <c r="B89" s="252" t="s">
        <v>970</v>
      </c>
      <c r="C89" s="252"/>
      <c r="D89" s="252"/>
      <c r="E89" s="252"/>
      <c r="F89" s="252"/>
      <c r="G89" s="252"/>
      <c r="H89" s="247"/>
      <c r="I89" s="247"/>
      <c r="J89" s="247"/>
      <c r="K89" s="247"/>
      <c r="L89" s="247"/>
      <c r="M89" s="247"/>
    </row>
    <row r="90" spans="2:22" ht="15" customHeight="1" x14ac:dyDescent="0.25">
      <c r="B90" s="253"/>
      <c r="C90" s="253"/>
      <c r="D90" s="253"/>
      <c r="E90" s="253"/>
      <c r="F90" s="253"/>
      <c r="G90" s="253"/>
      <c r="H90" s="17" t="s">
        <v>145</v>
      </c>
      <c r="I90" s="17" t="s">
        <v>278</v>
      </c>
      <c r="J90" s="17" t="s">
        <v>146</v>
      </c>
      <c r="K90" s="17" t="s">
        <v>147</v>
      </c>
      <c r="L90" s="17"/>
      <c r="M90" s="17" t="s">
        <v>148</v>
      </c>
    </row>
    <row r="91" spans="2:22" ht="15" customHeight="1" x14ac:dyDescent="0.25">
      <c r="B91" s="92" t="s">
        <v>145</v>
      </c>
      <c r="C91" s="92" t="s">
        <v>278</v>
      </c>
      <c r="D91" s="92" t="s">
        <v>146</v>
      </c>
      <c r="E91" s="92" t="s">
        <v>147</v>
      </c>
      <c r="F91" s="92"/>
      <c r="G91" s="92" t="s">
        <v>148</v>
      </c>
      <c r="H91" s="98" t="s">
        <v>971</v>
      </c>
      <c r="I91" s="98"/>
      <c r="J91" s="4">
        <v>300</v>
      </c>
      <c r="K91" s="4">
        <v>500</v>
      </c>
      <c r="L91" s="4"/>
      <c r="M91" s="4">
        <v>4000</v>
      </c>
    </row>
    <row r="92" spans="2:22" ht="18.75" customHeight="1" x14ac:dyDescent="0.25">
      <c r="B92" s="212" t="s">
        <v>841</v>
      </c>
      <c r="C92" s="212"/>
      <c r="D92" s="4">
        <v>300</v>
      </c>
      <c r="E92" s="4"/>
      <c r="F92" s="4"/>
      <c r="G92" s="4"/>
      <c r="H92" s="99"/>
      <c r="I92" s="99"/>
      <c r="J92" s="6" t="s">
        <v>972</v>
      </c>
      <c r="K92" s="6" t="s">
        <v>972</v>
      </c>
      <c r="L92" s="33"/>
      <c r="M92" s="33" t="s">
        <v>972</v>
      </c>
    </row>
    <row r="93" spans="2:22" ht="18.75" x14ac:dyDescent="0.25">
      <c r="B93" s="213"/>
      <c r="C93" s="213"/>
      <c r="D93" s="93" t="s">
        <v>842</v>
      </c>
      <c r="E93" s="28"/>
      <c r="F93" s="28"/>
      <c r="G93" s="28"/>
      <c r="H93" s="98"/>
      <c r="I93" s="98"/>
      <c r="J93" s="66"/>
      <c r="K93" s="4"/>
      <c r="L93" s="4"/>
      <c r="M93" s="4"/>
    </row>
    <row r="94" spans="2:22" ht="18.75" x14ac:dyDescent="0.25">
      <c r="B94" s="212"/>
      <c r="C94" s="212"/>
      <c r="D94" s="66"/>
      <c r="E94" s="4"/>
      <c r="F94" s="4"/>
      <c r="G94" s="4"/>
      <c r="H94" s="99"/>
      <c r="I94" s="99"/>
      <c r="J94" s="5"/>
      <c r="K94" s="33"/>
      <c r="L94" s="33"/>
      <c r="M94" s="33"/>
    </row>
    <row r="95" spans="2:22" ht="18.75" x14ac:dyDescent="0.25">
      <c r="B95" s="213"/>
      <c r="C95" s="213"/>
      <c r="D95" s="93"/>
      <c r="E95" s="28"/>
      <c r="F95" s="28"/>
      <c r="G95" s="28"/>
      <c r="H95" s="98"/>
      <c r="I95" s="98"/>
      <c r="J95" s="66"/>
      <c r="K95" s="4"/>
      <c r="L95" s="4"/>
      <c r="M95" s="4"/>
    </row>
    <row r="96" spans="2:22" ht="18.75" x14ac:dyDescent="0.25">
      <c r="B96" s="212"/>
      <c r="C96" s="212"/>
      <c r="D96" s="66"/>
      <c r="E96" s="4"/>
      <c r="F96" s="4"/>
      <c r="G96" s="4"/>
      <c r="H96" s="99"/>
      <c r="I96" s="99"/>
      <c r="J96" s="5"/>
      <c r="K96" s="33"/>
      <c r="L96" s="33"/>
      <c r="M96" s="33"/>
    </row>
    <row r="97" spans="2:13" ht="18.75" x14ac:dyDescent="0.25">
      <c r="B97" s="213"/>
      <c r="C97" s="213"/>
      <c r="D97" s="93"/>
      <c r="E97" s="28"/>
      <c r="F97" s="28"/>
      <c r="G97" s="28"/>
      <c r="H97" s="98"/>
      <c r="I97" s="98"/>
      <c r="J97" s="66"/>
      <c r="K97" s="4"/>
      <c r="L97" s="4"/>
      <c r="M97" s="4"/>
    </row>
    <row r="98" spans="2:13" ht="18.75" x14ac:dyDescent="0.25">
      <c r="B98" s="212"/>
      <c r="C98" s="212"/>
      <c r="D98" s="66"/>
      <c r="E98" s="4"/>
      <c r="F98" s="4"/>
      <c r="G98" s="4"/>
      <c r="H98" s="99"/>
      <c r="I98" s="99"/>
      <c r="J98" s="6"/>
      <c r="K98" s="33"/>
      <c r="L98" s="33"/>
      <c r="M98" s="33"/>
    </row>
    <row r="99" spans="2:13" ht="18.75" x14ac:dyDescent="0.25">
      <c r="B99" s="213"/>
      <c r="C99" s="213"/>
      <c r="D99" s="93"/>
      <c r="E99" s="28"/>
      <c r="F99" s="28"/>
      <c r="G99" s="28"/>
      <c r="H99" s="98"/>
      <c r="I99" s="98"/>
      <c r="J99" s="66"/>
      <c r="K99" s="4"/>
      <c r="L99" s="4"/>
      <c r="M99" s="4"/>
    </row>
    <row r="100" spans="2:13" ht="18.75" x14ac:dyDescent="0.25">
      <c r="B100" s="212"/>
      <c r="C100" s="212"/>
      <c r="D100" s="66"/>
      <c r="E100" s="4"/>
      <c r="F100" s="4"/>
      <c r="G100" s="4"/>
      <c r="H100" s="99"/>
      <c r="I100" s="99"/>
      <c r="J100" s="6"/>
      <c r="K100" s="33"/>
      <c r="L100" s="33"/>
      <c r="M100" s="33"/>
    </row>
    <row r="101" spans="2:13" ht="18.75" x14ac:dyDescent="0.25">
      <c r="B101" s="213"/>
      <c r="C101" s="213"/>
      <c r="D101" s="93"/>
      <c r="E101" s="28"/>
      <c r="F101" s="28"/>
      <c r="G101" s="28"/>
      <c r="H101" s="98"/>
      <c r="I101" s="98"/>
      <c r="J101" s="66"/>
      <c r="K101" s="4"/>
      <c r="L101" s="4"/>
      <c r="M101" s="4"/>
    </row>
    <row r="102" spans="2:13" ht="18.75" x14ac:dyDescent="0.25">
      <c r="B102" s="212"/>
      <c r="C102" s="212"/>
      <c r="D102" s="66"/>
      <c r="E102" s="4"/>
      <c r="F102" s="4"/>
      <c r="G102" s="4"/>
      <c r="H102" s="99"/>
      <c r="I102" s="99"/>
      <c r="J102" s="5"/>
      <c r="K102" s="33"/>
      <c r="L102" s="33"/>
      <c r="M102" s="33"/>
    </row>
    <row r="103" spans="2:13" ht="18.75" x14ac:dyDescent="0.25">
      <c r="B103" s="213"/>
      <c r="C103" s="213"/>
      <c r="D103" s="93"/>
      <c r="E103" s="28"/>
      <c r="F103" s="28"/>
      <c r="G103" s="28"/>
      <c r="H103" s="98"/>
      <c r="I103" s="98"/>
      <c r="J103" s="66"/>
      <c r="K103" s="4"/>
      <c r="L103" s="4"/>
      <c r="M103" s="4"/>
    </row>
    <row r="104" spans="2:13" ht="18.75" x14ac:dyDescent="0.25">
      <c r="B104" s="212"/>
      <c r="C104" s="212"/>
      <c r="D104" s="66"/>
      <c r="E104" s="4"/>
      <c r="F104" s="4"/>
      <c r="G104" s="4"/>
      <c r="H104" s="99"/>
      <c r="I104" s="99"/>
      <c r="J104" s="5"/>
      <c r="K104" s="33"/>
      <c r="L104" s="33"/>
      <c r="M104" s="33"/>
    </row>
    <row r="105" spans="2:13" ht="18.75" x14ac:dyDescent="0.25">
      <c r="B105" s="213"/>
      <c r="C105" s="213"/>
      <c r="D105" s="93"/>
      <c r="E105" s="28"/>
      <c r="F105" s="28"/>
      <c r="G105" s="28"/>
      <c r="H105" s="98"/>
      <c r="I105" s="98"/>
      <c r="J105" s="66"/>
      <c r="K105" s="4"/>
      <c r="L105" s="4"/>
      <c r="M105" s="4"/>
    </row>
    <row r="106" spans="2:13" ht="18.75" x14ac:dyDescent="0.25">
      <c r="B106" s="212"/>
      <c r="C106" s="212"/>
      <c r="D106" s="66"/>
      <c r="E106" s="4"/>
      <c r="F106" s="4"/>
      <c r="G106" s="4"/>
      <c r="H106" s="99"/>
      <c r="I106" s="99"/>
      <c r="J106" s="5"/>
      <c r="K106" s="33"/>
      <c r="L106" s="33"/>
      <c r="M106" s="33"/>
    </row>
    <row r="107" spans="2:13" ht="18.75" x14ac:dyDescent="0.25">
      <c r="B107" s="213"/>
      <c r="C107" s="213"/>
      <c r="D107" s="93"/>
      <c r="E107" s="28"/>
      <c r="F107" s="28"/>
      <c r="G107" s="28"/>
      <c r="H107" s="98"/>
      <c r="I107" s="98"/>
      <c r="J107" s="66"/>
      <c r="K107" s="4"/>
      <c r="L107" s="4"/>
      <c r="M107" s="4"/>
    </row>
    <row r="108" spans="2:13" ht="18.75" x14ac:dyDescent="0.25">
      <c r="B108" s="212"/>
      <c r="C108" s="212"/>
      <c r="D108" s="66"/>
      <c r="E108" s="4"/>
      <c r="F108" s="4"/>
      <c r="G108" s="4"/>
      <c r="H108" s="99"/>
      <c r="I108" s="99"/>
      <c r="J108" s="5"/>
      <c r="K108" s="33"/>
      <c r="L108" s="33"/>
      <c r="M108" s="33"/>
    </row>
    <row r="109" spans="2:13" ht="18.75" x14ac:dyDescent="0.25">
      <c r="B109" s="213"/>
      <c r="C109" s="213"/>
      <c r="D109" s="93"/>
      <c r="E109" s="28"/>
      <c r="F109" s="28"/>
      <c r="G109" s="28"/>
      <c r="H109" s="98"/>
      <c r="I109" s="98"/>
      <c r="J109" s="5"/>
      <c r="K109" s="4"/>
      <c r="L109" s="4"/>
      <c r="M109" s="4"/>
    </row>
    <row r="110" spans="2:13" ht="18.75" x14ac:dyDescent="0.25">
      <c r="B110" s="212"/>
      <c r="C110" s="212"/>
      <c r="D110" s="93"/>
      <c r="E110" s="4"/>
      <c r="F110" s="4"/>
      <c r="G110" s="4"/>
      <c r="H110" s="99"/>
      <c r="I110" s="99"/>
      <c r="J110" s="5"/>
      <c r="K110" s="33"/>
      <c r="L110" s="33"/>
      <c r="M110" s="33"/>
    </row>
    <row r="111" spans="2:13" ht="18.75" x14ac:dyDescent="0.25">
      <c r="B111" s="213"/>
      <c r="C111" s="213"/>
      <c r="D111" s="93"/>
      <c r="E111" s="28"/>
      <c r="F111" s="28"/>
      <c r="G111" s="28"/>
      <c r="H111" s="98"/>
      <c r="I111" s="98"/>
      <c r="J111" s="4"/>
      <c r="K111" s="4"/>
      <c r="L111" s="4"/>
      <c r="M111" s="4"/>
    </row>
    <row r="112" spans="2:13" ht="18.75" x14ac:dyDescent="0.25">
      <c r="B112" s="212"/>
      <c r="C112" s="212"/>
      <c r="D112" s="4"/>
      <c r="E112" s="4"/>
      <c r="F112" s="4"/>
      <c r="G112" s="4"/>
      <c r="H112" s="99"/>
      <c r="I112" s="99"/>
      <c r="J112" s="5"/>
      <c r="K112" s="5"/>
      <c r="L112" s="5"/>
      <c r="M112" s="5"/>
    </row>
    <row r="113" spans="2:13" ht="18.75" x14ac:dyDescent="0.25">
      <c r="B113" s="213"/>
      <c r="C113" s="213"/>
      <c r="D113" s="93"/>
      <c r="E113" s="93"/>
      <c r="F113" s="93"/>
      <c r="G113" s="93"/>
      <c r="H113" s="98"/>
      <c r="I113" s="98"/>
      <c r="J113" s="4"/>
      <c r="K113" s="4"/>
      <c r="L113" s="4"/>
      <c r="M113" s="4"/>
    </row>
    <row r="114" spans="2:13" ht="18.75" x14ac:dyDescent="0.25">
      <c r="B114" s="212"/>
      <c r="C114" s="212"/>
      <c r="D114" s="4"/>
      <c r="E114" s="4"/>
      <c r="F114" s="4"/>
      <c r="G114" s="4"/>
      <c r="H114" s="99"/>
      <c r="I114" s="99"/>
      <c r="J114" s="6"/>
      <c r="K114" s="5"/>
      <c r="L114" s="5"/>
      <c r="M114" s="5"/>
    </row>
    <row r="115" spans="2:13" ht="18.75" x14ac:dyDescent="0.25">
      <c r="B115" s="213"/>
      <c r="C115" s="213"/>
      <c r="D115" s="93"/>
      <c r="E115" s="93"/>
      <c r="F115" s="93"/>
      <c r="G115" s="93"/>
      <c r="H115" s="98"/>
      <c r="I115" s="98"/>
      <c r="J115" s="4"/>
      <c r="K115" s="4"/>
      <c r="L115" s="4"/>
      <c r="M115" s="4"/>
    </row>
    <row r="116" spans="2:13" ht="18.75" x14ac:dyDescent="0.25">
      <c r="B116" s="212"/>
      <c r="C116" s="212"/>
      <c r="D116" s="4"/>
      <c r="E116" s="4"/>
      <c r="F116" s="4"/>
      <c r="G116" s="4"/>
      <c r="H116" s="99"/>
      <c r="I116" s="99"/>
      <c r="J116" s="6"/>
      <c r="K116" s="5"/>
      <c r="L116" s="5"/>
      <c r="M116" s="5"/>
    </row>
    <row r="117" spans="2:13" ht="18.75" x14ac:dyDescent="0.25">
      <c r="B117" s="213"/>
      <c r="C117" s="213"/>
      <c r="D117" s="93"/>
      <c r="E117" s="93"/>
      <c r="F117" s="93"/>
      <c r="G117" s="93"/>
      <c r="H117" s="98"/>
      <c r="I117" s="98"/>
      <c r="J117" s="4"/>
      <c r="K117" s="4"/>
      <c r="L117" s="4"/>
      <c r="M117" s="4"/>
    </row>
    <row r="118" spans="2:13" ht="18.75" x14ac:dyDescent="0.25">
      <c r="B118" s="212"/>
      <c r="C118" s="212"/>
      <c r="D118" s="4"/>
      <c r="E118" s="4"/>
      <c r="F118" s="4"/>
      <c r="G118" s="4"/>
      <c r="H118" s="99"/>
      <c r="I118" s="99"/>
      <c r="J118" s="6"/>
      <c r="K118" s="5"/>
      <c r="L118" s="5"/>
      <c r="M118" s="5"/>
    </row>
    <row r="119" spans="2:13" ht="18.75" x14ac:dyDescent="0.25">
      <c r="B119" s="213"/>
      <c r="C119" s="213"/>
      <c r="D119" s="93"/>
      <c r="E119" s="93"/>
      <c r="F119" s="93"/>
      <c r="G119" s="93"/>
      <c r="H119" s="98"/>
      <c r="I119" s="98"/>
      <c r="J119" s="4"/>
      <c r="K119" s="4"/>
      <c r="L119" s="4"/>
      <c r="M119" s="4"/>
    </row>
    <row r="120" spans="2:13" ht="18.75" x14ac:dyDescent="0.25">
      <c r="B120" s="212"/>
      <c r="C120" s="212"/>
      <c r="D120" s="4"/>
      <c r="E120" s="4"/>
      <c r="F120" s="4"/>
      <c r="G120" s="4"/>
      <c r="H120" s="99"/>
      <c r="I120" s="99"/>
      <c r="J120" s="6"/>
      <c r="K120" s="6"/>
      <c r="L120" s="6"/>
      <c r="M120" s="6"/>
    </row>
    <row r="121" spans="2:13" ht="18.75" x14ac:dyDescent="0.25">
      <c r="B121" s="213"/>
      <c r="C121" s="213"/>
      <c r="D121" s="93"/>
      <c r="E121" s="93"/>
      <c r="F121" s="93"/>
      <c r="G121" s="93"/>
      <c r="H121" s="98"/>
      <c r="I121" s="98"/>
      <c r="J121" s="4"/>
      <c r="K121" s="4"/>
      <c r="L121" s="4"/>
      <c r="M121" s="4"/>
    </row>
    <row r="122" spans="2:13" ht="18.75" x14ac:dyDescent="0.25">
      <c r="B122" s="212"/>
      <c r="C122" s="212"/>
      <c r="D122" s="4"/>
      <c r="E122" s="4"/>
      <c r="F122" s="4"/>
      <c r="G122" s="4"/>
      <c r="H122" s="99"/>
      <c r="I122" s="99"/>
      <c r="J122" s="6"/>
      <c r="K122" s="6"/>
      <c r="L122" s="6"/>
      <c r="M122" s="6"/>
    </row>
    <row r="123" spans="2:13" ht="18.75" x14ac:dyDescent="0.25">
      <c r="B123" s="213"/>
      <c r="C123" s="213"/>
      <c r="D123" s="93"/>
      <c r="E123" s="93"/>
      <c r="F123" s="93"/>
      <c r="G123" s="93"/>
      <c r="H123" s="98"/>
      <c r="I123" s="98"/>
      <c r="J123" s="4"/>
      <c r="K123" s="4"/>
      <c r="L123" s="4"/>
      <c r="M123" s="4"/>
    </row>
    <row r="124" spans="2:13" ht="18.75" x14ac:dyDescent="0.25">
      <c r="B124" s="212"/>
      <c r="C124" s="212"/>
      <c r="D124" s="4"/>
      <c r="E124" s="4"/>
      <c r="F124" s="4"/>
      <c r="G124" s="4"/>
      <c r="H124" s="99"/>
      <c r="I124" s="99"/>
      <c r="J124" s="6"/>
      <c r="K124" s="6"/>
      <c r="L124" s="6"/>
      <c r="M124" s="6"/>
    </row>
    <row r="125" spans="2:13" ht="18.75" x14ac:dyDescent="0.25">
      <c r="B125" s="213"/>
      <c r="C125" s="213"/>
      <c r="D125" s="93"/>
      <c r="E125" s="93"/>
      <c r="F125" s="93"/>
      <c r="G125" s="93"/>
      <c r="H125" s="98"/>
      <c r="I125" s="98"/>
      <c r="J125" s="4"/>
      <c r="K125" s="4"/>
      <c r="L125" s="4"/>
      <c r="M125" s="4"/>
    </row>
    <row r="126" spans="2:13" ht="18.75" x14ac:dyDescent="0.25">
      <c r="B126" s="212"/>
      <c r="C126" s="212"/>
      <c r="D126" s="4"/>
      <c r="E126" s="4"/>
      <c r="F126" s="4"/>
      <c r="G126" s="4"/>
      <c r="H126" s="99"/>
      <c r="I126" s="99"/>
      <c r="J126" s="6"/>
      <c r="K126" s="6"/>
      <c r="L126" s="6"/>
      <c r="M126" s="6"/>
    </row>
    <row r="127" spans="2:13" ht="18.75" x14ac:dyDescent="0.25">
      <c r="B127" s="213"/>
      <c r="C127" s="213"/>
      <c r="D127" s="93"/>
      <c r="E127" s="93"/>
      <c r="F127" s="93"/>
      <c r="G127" s="93"/>
      <c r="H127" s="154" t="s">
        <v>149</v>
      </c>
      <c r="I127" s="14"/>
      <c r="J127" s="154">
        <f>SUM(J91:J114)</f>
        <v>300</v>
      </c>
      <c r="K127" s="154">
        <f>SUM(K91+K93+K95+K97+K99+K101+K103+K105+K107+K109)</f>
        <v>500</v>
      </c>
      <c r="L127" s="14"/>
      <c r="M127" s="154">
        <f>SUM(M91:M114)</f>
        <v>4000</v>
      </c>
    </row>
    <row r="128" spans="2:13" ht="18.75" x14ac:dyDescent="0.25">
      <c r="B128" s="254" t="s">
        <v>149</v>
      </c>
      <c r="C128" s="94"/>
      <c r="D128" s="254">
        <f>SUM(D92:D115)</f>
        <v>300</v>
      </c>
      <c r="E128" s="254">
        <f>SUM(E92+E94+E96+E98+E100+E102+E104+E106+E108+E110)</f>
        <v>0</v>
      </c>
      <c r="F128" s="94"/>
      <c r="G128" s="254">
        <f>SUM(G92:G115)</f>
        <v>0</v>
      </c>
      <c r="H128" s="155"/>
      <c r="I128" s="15"/>
      <c r="J128" s="155"/>
      <c r="K128" s="155"/>
      <c r="L128" s="15"/>
      <c r="M128" s="155"/>
    </row>
    <row r="129" spans="2:7" ht="18.75" x14ac:dyDescent="0.25">
      <c r="B129" s="255"/>
      <c r="C129" s="95"/>
      <c r="D129" s="255"/>
      <c r="E129" s="255"/>
      <c r="F129" s="95"/>
      <c r="G129" s="255"/>
    </row>
  </sheetData>
  <mergeCells count="326">
    <mergeCell ref="I107:I108"/>
    <mergeCell ref="H109:H110"/>
    <mergeCell ref="I109:I110"/>
    <mergeCell ref="M127:M128"/>
    <mergeCell ref="H111:H112"/>
    <mergeCell ref="I111:I112"/>
    <mergeCell ref="H113:H114"/>
    <mergeCell ref="I113:I114"/>
    <mergeCell ref="H115:H116"/>
    <mergeCell ref="I115:I116"/>
    <mergeCell ref="H117:H118"/>
    <mergeCell ref="I117:I118"/>
    <mergeCell ref="H119:H120"/>
    <mergeCell ref="I119:I120"/>
    <mergeCell ref="K127:K128"/>
    <mergeCell ref="J127:J128"/>
    <mergeCell ref="H88:M89"/>
    <mergeCell ref="H91:H92"/>
    <mergeCell ref="I91:I92"/>
    <mergeCell ref="H93:H94"/>
    <mergeCell ref="I93:I94"/>
    <mergeCell ref="H95:H96"/>
    <mergeCell ref="I95:I96"/>
    <mergeCell ref="H97:H98"/>
    <mergeCell ref="I97:I98"/>
    <mergeCell ref="B122:B123"/>
    <mergeCell ref="C122:C123"/>
    <mergeCell ref="B124:B125"/>
    <mergeCell ref="C124:C125"/>
    <mergeCell ref="B126:B127"/>
    <mergeCell ref="C126:C127"/>
    <mergeCell ref="B128:B129"/>
    <mergeCell ref="H99:H100"/>
    <mergeCell ref="I99:I100"/>
    <mergeCell ref="H121:H122"/>
    <mergeCell ref="I121:I122"/>
    <mergeCell ref="H123:H124"/>
    <mergeCell ref="I123:I124"/>
    <mergeCell ref="D128:D129"/>
    <mergeCell ref="E128:E129"/>
    <mergeCell ref="G128:G129"/>
    <mergeCell ref="I125:I126"/>
    <mergeCell ref="H101:H102"/>
    <mergeCell ref="I101:I102"/>
    <mergeCell ref="H103:H104"/>
    <mergeCell ref="I103:I104"/>
    <mergeCell ref="H105:H106"/>
    <mergeCell ref="I105:I106"/>
    <mergeCell ref="H107:H108"/>
    <mergeCell ref="C112:C113"/>
    <mergeCell ref="B114:B115"/>
    <mergeCell ref="C114:C115"/>
    <mergeCell ref="B116:B117"/>
    <mergeCell ref="C116:C117"/>
    <mergeCell ref="B118:B119"/>
    <mergeCell ref="C118:C119"/>
    <mergeCell ref="B120:B121"/>
    <mergeCell ref="C120:C121"/>
    <mergeCell ref="B89:G90"/>
    <mergeCell ref="B94:B95"/>
    <mergeCell ref="C94:C95"/>
    <mergeCell ref="B96:B97"/>
    <mergeCell ref="C96:C97"/>
    <mergeCell ref="B98:B99"/>
    <mergeCell ref="C98:C99"/>
    <mergeCell ref="H127:H128"/>
    <mergeCell ref="H125:H126"/>
    <mergeCell ref="B92:B93"/>
    <mergeCell ref="C92:C93"/>
    <mergeCell ref="B100:B101"/>
    <mergeCell ref="C100:C101"/>
    <mergeCell ref="B102:B103"/>
    <mergeCell ref="C102:C103"/>
    <mergeCell ref="B104:B105"/>
    <mergeCell ref="C104:C105"/>
    <mergeCell ref="B106:B107"/>
    <mergeCell ref="C106:C107"/>
    <mergeCell ref="B108:B109"/>
    <mergeCell ref="C108:C109"/>
    <mergeCell ref="B110:B111"/>
    <mergeCell ref="C110:C111"/>
    <mergeCell ref="B112:B113"/>
    <mergeCell ref="D83:D84"/>
    <mergeCell ref="E83:E84"/>
    <mergeCell ref="F83:F84"/>
    <mergeCell ref="B73:B74"/>
    <mergeCell ref="C73:C74"/>
    <mergeCell ref="B75:B76"/>
    <mergeCell ref="C75:C76"/>
    <mergeCell ref="B77:B78"/>
    <mergeCell ref="C77:C78"/>
    <mergeCell ref="B79:B80"/>
    <mergeCell ref="C79:C80"/>
    <mergeCell ref="B81:B82"/>
    <mergeCell ref="C81:C82"/>
    <mergeCell ref="B65:B66"/>
    <mergeCell ref="C65:C66"/>
    <mergeCell ref="B67:B68"/>
    <mergeCell ref="C67:C68"/>
    <mergeCell ref="B69:B70"/>
    <mergeCell ref="C69:C70"/>
    <mergeCell ref="B71:B72"/>
    <mergeCell ref="C71:C72"/>
    <mergeCell ref="B83:B84"/>
    <mergeCell ref="H84:H85"/>
    <mergeCell ref="J84:J85"/>
    <mergeCell ref="K84:K85"/>
    <mergeCell ref="M84:M85"/>
    <mergeCell ref="H45:M46"/>
    <mergeCell ref="B45:F45"/>
    <mergeCell ref="B47:B48"/>
    <mergeCell ref="C47:C48"/>
    <mergeCell ref="B49:B50"/>
    <mergeCell ref="C49:C50"/>
    <mergeCell ref="B51:B52"/>
    <mergeCell ref="C51:C52"/>
    <mergeCell ref="B53:B54"/>
    <mergeCell ref="C53:C54"/>
    <mergeCell ref="B55:B56"/>
    <mergeCell ref="C55:C56"/>
    <mergeCell ref="B57:B58"/>
    <mergeCell ref="C57:C58"/>
    <mergeCell ref="B59:B60"/>
    <mergeCell ref="C59:C60"/>
    <mergeCell ref="B61:B62"/>
    <mergeCell ref="C61:C62"/>
    <mergeCell ref="B63:B64"/>
    <mergeCell ref="C63:C64"/>
    <mergeCell ref="H74:H75"/>
    <mergeCell ref="I74:I75"/>
    <mergeCell ref="H76:H77"/>
    <mergeCell ref="I76:I77"/>
    <mergeCell ref="H78:H79"/>
    <mergeCell ref="I78:I79"/>
    <mergeCell ref="H80:H81"/>
    <mergeCell ref="I80:I81"/>
    <mergeCell ref="H82:H83"/>
    <mergeCell ref="I82:I83"/>
    <mergeCell ref="H64:H65"/>
    <mergeCell ref="I64:I65"/>
    <mergeCell ref="H66:H67"/>
    <mergeCell ref="I66:I67"/>
    <mergeCell ref="H68:H69"/>
    <mergeCell ref="I68:I69"/>
    <mergeCell ref="H70:H71"/>
    <mergeCell ref="I70:I71"/>
    <mergeCell ref="H72:H73"/>
    <mergeCell ref="I72:I73"/>
    <mergeCell ref="R76:R77"/>
    <mergeCell ref="R78:R79"/>
    <mergeCell ref="R80:R81"/>
    <mergeCell ref="R82:R83"/>
    <mergeCell ref="R84:R85"/>
    <mergeCell ref="R86:R87"/>
    <mergeCell ref="R47:V48"/>
    <mergeCell ref="H48:H49"/>
    <mergeCell ref="I48:I49"/>
    <mergeCell ref="H50:H51"/>
    <mergeCell ref="I50:I51"/>
    <mergeCell ref="H52:H53"/>
    <mergeCell ref="I52:I53"/>
    <mergeCell ref="H54:H55"/>
    <mergeCell ref="I54:I55"/>
    <mergeCell ref="H56:H57"/>
    <mergeCell ref="I56:I57"/>
    <mergeCell ref="H58:H59"/>
    <mergeCell ref="I58:I59"/>
    <mergeCell ref="H60:H61"/>
    <mergeCell ref="I60:I61"/>
    <mergeCell ref="H62:H63"/>
    <mergeCell ref="S50:S51"/>
    <mergeCell ref="I62:I63"/>
    <mergeCell ref="U86:U87"/>
    <mergeCell ref="V86:V87"/>
    <mergeCell ref="R50:R51"/>
    <mergeCell ref="R52:R53"/>
    <mergeCell ref="R54:R55"/>
    <mergeCell ref="R56:R57"/>
    <mergeCell ref="R58:R59"/>
    <mergeCell ref="R60:R61"/>
    <mergeCell ref="R62:R63"/>
    <mergeCell ref="R64:R65"/>
    <mergeCell ref="R66:R67"/>
    <mergeCell ref="R68:R69"/>
    <mergeCell ref="R70:R71"/>
    <mergeCell ref="R72:R73"/>
    <mergeCell ref="S82:S83"/>
    <mergeCell ref="S84:S85"/>
    <mergeCell ref="T86:T87"/>
    <mergeCell ref="S72:S73"/>
    <mergeCell ref="S74:S75"/>
    <mergeCell ref="S76:S77"/>
    <mergeCell ref="S78:S79"/>
    <mergeCell ref="S80:S81"/>
    <mergeCell ref="S62:S63"/>
    <mergeCell ref="R74:R75"/>
    <mergeCell ref="S64:S65"/>
    <mergeCell ref="S66:S67"/>
    <mergeCell ref="S68:S69"/>
    <mergeCell ref="S70:S71"/>
    <mergeCell ref="S54:S55"/>
    <mergeCell ref="S56:S57"/>
    <mergeCell ref="S58:S59"/>
    <mergeCell ref="S60:S61"/>
    <mergeCell ref="I12:I13"/>
    <mergeCell ref="I14:I15"/>
    <mergeCell ref="I16:I17"/>
    <mergeCell ref="I18:I19"/>
    <mergeCell ref="I20:I21"/>
    <mergeCell ref="S12:S13"/>
    <mergeCell ref="S14:S15"/>
    <mergeCell ref="M40:M41"/>
    <mergeCell ref="R12:R13"/>
    <mergeCell ref="R14:R15"/>
    <mergeCell ref="R24:R25"/>
    <mergeCell ref="R26:R27"/>
    <mergeCell ref="R28:R29"/>
    <mergeCell ref="R30:R31"/>
    <mergeCell ref="S52:S53"/>
    <mergeCell ref="C38:C39"/>
    <mergeCell ref="C28:C29"/>
    <mergeCell ref="C30:C31"/>
    <mergeCell ref="C32:C33"/>
    <mergeCell ref="C34:C35"/>
    <mergeCell ref="C36:C37"/>
    <mergeCell ref="C12:C13"/>
    <mergeCell ref="C14:C15"/>
    <mergeCell ref="C16:C17"/>
    <mergeCell ref="C18:C19"/>
    <mergeCell ref="C20:C21"/>
    <mergeCell ref="H16:H17"/>
    <mergeCell ref="H18:H19"/>
    <mergeCell ref="H20:H21"/>
    <mergeCell ref="I22:I23"/>
    <mergeCell ref="S22:S23"/>
    <mergeCell ref="S24:S25"/>
    <mergeCell ref="S26:S27"/>
    <mergeCell ref="S28:S29"/>
    <mergeCell ref="S30:S31"/>
    <mergeCell ref="S16:S17"/>
    <mergeCell ref="S18:S19"/>
    <mergeCell ref="S20:S21"/>
    <mergeCell ref="H26:H27"/>
    <mergeCell ref="H28:H29"/>
    <mergeCell ref="H30:H31"/>
    <mergeCell ref="I26:I27"/>
    <mergeCell ref="I28:I29"/>
    <mergeCell ref="I30:I31"/>
    <mergeCell ref="R16:R17"/>
    <mergeCell ref="R18:R19"/>
    <mergeCell ref="R20:R21"/>
    <mergeCell ref="R22:R23"/>
    <mergeCell ref="B2:F2"/>
    <mergeCell ref="S4:S5"/>
    <mergeCell ref="S6:S7"/>
    <mergeCell ref="S8:S9"/>
    <mergeCell ref="S10:S11"/>
    <mergeCell ref="I4:I5"/>
    <mergeCell ref="I6:I7"/>
    <mergeCell ref="I8:I9"/>
    <mergeCell ref="I10:I11"/>
    <mergeCell ref="C4:C5"/>
    <mergeCell ref="C6:C7"/>
    <mergeCell ref="C8:C9"/>
    <mergeCell ref="C10:C11"/>
    <mergeCell ref="R4:R5"/>
    <mergeCell ref="R6:R7"/>
    <mergeCell ref="R8:R9"/>
    <mergeCell ref="R10:R11"/>
    <mergeCell ref="R2:V2"/>
    <mergeCell ref="B12:B13"/>
    <mergeCell ref="B4:B5"/>
    <mergeCell ref="B6:B7"/>
    <mergeCell ref="B8:B9"/>
    <mergeCell ref="B10:B11"/>
    <mergeCell ref="B14:B15"/>
    <mergeCell ref="B16:B17"/>
    <mergeCell ref="B18:B19"/>
    <mergeCell ref="B20:B21"/>
    <mergeCell ref="B22:B23"/>
    <mergeCell ref="H4:H5"/>
    <mergeCell ref="H6:H7"/>
    <mergeCell ref="H8:H9"/>
    <mergeCell ref="H10:H11"/>
    <mergeCell ref="H2:M2"/>
    <mergeCell ref="H22:H23"/>
    <mergeCell ref="B38:B39"/>
    <mergeCell ref="B40:B41"/>
    <mergeCell ref="D40:D41"/>
    <mergeCell ref="E40:E41"/>
    <mergeCell ref="F40:F41"/>
    <mergeCell ref="B26:B27"/>
    <mergeCell ref="B28:B29"/>
    <mergeCell ref="B30:B31"/>
    <mergeCell ref="B32:B33"/>
    <mergeCell ref="B34:B35"/>
    <mergeCell ref="B36:B37"/>
    <mergeCell ref="B24:B25"/>
    <mergeCell ref="C22:C23"/>
    <mergeCell ref="C24:C25"/>
    <mergeCell ref="C26:C27"/>
    <mergeCell ref="H12:H13"/>
    <mergeCell ref="H14:H15"/>
    <mergeCell ref="H32:H33"/>
    <mergeCell ref="H34:H35"/>
    <mergeCell ref="H36:H37"/>
    <mergeCell ref="H38:H39"/>
    <mergeCell ref="H40:H41"/>
    <mergeCell ref="J40:J41"/>
    <mergeCell ref="K40:K41"/>
    <mergeCell ref="I32:I33"/>
    <mergeCell ref="I34:I35"/>
    <mergeCell ref="I36:I37"/>
    <mergeCell ref="I38:I39"/>
    <mergeCell ref="T40:T41"/>
    <mergeCell ref="U40:U41"/>
    <mergeCell ref="V40:V41"/>
    <mergeCell ref="R32:R33"/>
    <mergeCell ref="R34:R35"/>
    <mergeCell ref="R36:R37"/>
    <mergeCell ref="R38:R39"/>
    <mergeCell ref="R40:R41"/>
    <mergeCell ref="S32:S33"/>
    <mergeCell ref="S34:S35"/>
    <mergeCell ref="S36:S37"/>
    <mergeCell ref="S38:S39"/>
  </mergeCells>
  <pageMargins left="0.7" right="0.7" top="0.75" bottom="0.75" header="0.3" footer="0.3"/>
  <pageSetup paperSize="9" orientation="portrait" horizontalDpi="4294967293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569C8-FC92-4A9C-8FBF-EFB0FD536FB6}">
  <dimension ref="C1:P44"/>
  <sheetViews>
    <sheetView rightToLeft="1" workbookViewId="0">
      <selection activeCell="H4" sqref="H4:I44"/>
    </sheetView>
  </sheetViews>
  <sheetFormatPr defaultColWidth="11.42578125" defaultRowHeight="15" x14ac:dyDescent="0.25"/>
  <cols>
    <col min="2" max="2" width="10" customWidth="1"/>
    <col min="3" max="3" width="21" customWidth="1"/>
    <col min="4" max="4" width="18.7109375" customWidth="1"/>
    <col min="5" max="5" width="20.7109375" customWidth="1"/>
    <col min="6" max="6" width="22.42578125" customWidth="1"/>
    <col min="7" max="7" width="20.140625" customWidth="1"/>
    <col min="10" max="10" width="22.85546875" customWidth="1"/>
    <col min="11" max="11" width="16.7109375" customWidth="1"/>
    <col min="12" max="12" width="17.85546875" customWidth="1"/>
    <col min="13" max="13" width="21.42578125" customWidth="1"/>
    <col min="14" max="14" width="18.7109375" bestFit="1" customWidth="1"/>
  </cols>
  <sheetData>
    <row r="1" spans="3:16" x14ac:dyDescent="0.25">
      <c r="G1" s="266" t="s">
        <v>712</v>
      </c>
      <c r="H1" s="267"/>
      <c r="I1" s="267"/>
      <c r="J1" s="267"/>
      <c r="K1" s="267"/>
      <c r="L1" s="267"/>
      <c r="M1" s="267"/>
    </row>
    <row r="2" spans="3:16" x14ac:dyDescent="0.25">
      <c r="G2" s="267"/>
      <c r="H2" s="267"/>
      <c r="I2" s="267"/>
      <c r="J2" s="267"/>
      <c r="K2" s="267"/>
      <c r="L2" s="267"/>
      <c r="M2" s="267"/>
    </row>
    <row r="4" spans="3:16" x14ac:dyDescent="0.25">
      <c r="C4" s="251" t="s">
        <v>710</v>
      </c>
      <c r="D4" s="251"/>
      <c r="E4" s="251"/>
      <c r="F4" s="251"/>
      <c r="G4" s="251"/>
      <c r="H4" s="256" t="s">
        <v>704</v>
      </c>
      <c r="I4" s="257"/>
      <c r="O4" s="264" t="s">
        <v>705</v>
      </c>
      <c r="P4" s="265"/>
    </row>
    <row r="5" spans="3:16" ht="30.75" customHeight="1" x14ac:dyDescent="0.25">
      <c r="C5" s="247"/>
      <c r="D5" s="247"/>
      <c r="E5" s="247"/>
      <c r="F5" s="247"/>
      <c r="G5" s="247"/>
      <c r="H5" s="257"/>
      <c r="I5" s="257"/>
      <c r="O5" s="265"/>
      <c r="P5" s="265"/>
    </row>
    <row r="6" spans="3:16" ht="24.75" customHeight="1" x14ac:dyDescent="0.25">
      <c r="C6" s="17" t="s">
        <v>145</v>
      </c>
      <c r="D6" s="17" t="s">
        <v>278</v>
      </c>
      <c r="E6" s="17" t="s">
        <v>146</v>
      </c>
      <c r="F6" s="17" t="s">
        <v>147</v>
      </c>
      <c r="G6" s="17" t="s">
        <v>148</v>
      </c>
      <c r="H6" s="257"/>
      <c r="I6" s="257"/>
      <c r="J6" s="17" t="s">
        <v>145</v>
      </c>
      <c r="K6" s="17" t="s">
        <v>278</v>
      </c>
      <c r="L6" s="17" t="s">
        <v>146</v>
      </c>
      <c r="M6" s="17" t="s">
        <v>147</v>
      </c>
      <c r="N6" s="17" t="s">
        <v>148</v>
      </c>
      <c r="O6" s="265"/>
      <c r="P6" s="265"/>
    </row>
    <row r="7" spans="3:16" ht="18.75" x14ac:dyDescent="0.25">
      <c r="C7" s="98" t="s">
        <v>284</v>
      </c>
      <c r="D7" s="98" t="s">
        <v>285</v>
      </c>
      <c r="E7" s="34"/>
      <c r="F7" s="29">
        <v>500</v>
      </c>
      <c r="G7" s="31">
        <v>2000</v>
      </c>
      <c r="H7" s="257"/>
      <c r="I7" s="257"/>
      <c r="J7" s="98" t="s">
        <v>284</v>
      </c>
      <c r="K7" s="98" t="s">
        <v>285</v>
      </c>
      <c r="L7" s="66"/>
      <c r="M7" s="67"/>
      <c r="N7" s="68"/>
      <c r="O7" s="265"/>
      <c r="P7" s="265"/>
    </row>
    <row r="8" spans="3:16" ht="15.75" x14ac:dyDescent="0.25">
      <c r="C8" s="99"/>
      <c r="D8" s="99"/>
      <c r="E8" s="35"/>
      <c r="F8" s="30" t="s">
        <v>286</v>
      </c>
      <c r="G8" s="32" t="s">
        <v>286</v>
      </c>
      <c r="H8" s="257"/>
      <c r="I8" s="257"/>
      <c r="J8" s="99"/>
      <c r="K8" s="99"/>
      <c r="L8" s="5"/>
      <c r="M8" s="30"/>
      <c r="N8" s="32"/>
      <c r="O8" s="265"/>
      <c r="P8" s="265"/>
    </row>
    <row r="9" spans="3:16" ht="18.75" x14ac:dyDescent="0.25">
      <c r="C9" s="98" t="s">
        <v>291</v>
      </c>
      <c r="D9" s="98" t="s">
        <v>344</v>
      </c>
      <c r="E9" s="34"/>
      <c r="F9" s="29">
        <v>500</v>
      </c>
      <c r="G9" s="31">
        <v>2000</v>
      </c>
      <c r="H9" s="257"/>
      <c r="I9" s="257"/>
      <c r="J9" s="98" t="s">
        <v>291</v>
      </c>
      <c r="K9" s="98" t="s">
        <v>344</v>
      </c>
      <c r="L9" s="66"/>
      <c r="M9" s="67"/>
      <c r="N9" s="68"/>
      <c r="O9" s="265"/>
      <c r="P9" s="265"/>
    </row>
    <row r="10" spans="3:16" ht="15.75" x14ac:dyDescent="0.25">
      <c r="C10" s="99"/>
      <c r="D10" s="99"/>
      <c r="E10" s="35"/>
      <c r="F10" s="30" t="s">
        <v>292</v>
      </c>
      <c r="G10" s="32" t="s">
        <v>292</v>
      </c>
      <c r="H10" s="257"/>
      <c r="I10" s="257"/>
      <c r="J10" s="99"/>
      <c r="K10" s="99"/>
      <c r="L10" s="5"/>
      <c r="M10" s="30"/>
      <c r="N10" s="32"/>
      <c r="O10" s="265"/>
      <c r="P10" s="265"/>
    </row>
    <row r="11" spans="3:16" ht="18.75" x14ac:dyDescent="0.25">
      <c r="C11" s="98" t="s">
        <v>295</v>
      </c>
      <c r="D11" s="98" t="s">
        <v>296</v>
      </c>
      <c r="E11" s="34"/>
      <c r="F11" s="29">
        <v>500</v>
      </c>
      <c r="G11" s="31">
        <v>2000</v>
      </c>
      <c r="H11" s="257"/>
      <c r="I11" s="257"/>
      <c r="J11" s="98" t="s">
        <v>295</v>
      </c>
      <c r="K11" s="98" t="s">
        <v>296</v>
      </c>
      <c r="L11" s="66"/>
      <c r="M11" s="67"/>
      <c r="N11" s="68"/>
      <c r="O11" s="265"/>
      <c r="P11" s="265"/>
    </row>
    <row r="12" spans="3:16" ht="15.75" x14ac:dyDescent="0.25">
      <c r="C12" s="99"/>
      <c r="D12" s="99"/>
      <c r="E12" s="35"/>
      <c r="F12" s="30" t="s">
        <v>297</v>
      </c>
      <c r="G12" s="32" t="s">
        <v>297</v>
      </c>
      <c r="H12" s="257"/>
      <c r="I12" s="257"/>
      <c r="J12" s="99"/>
      <c r="K12" s="99"/>
      <c r="L12" s="5"/>
      <c r="M12" s="30"/>
      <c r="N12" s="32"/>
      <c r="O12" s="265"/>
      <c r="P12" s="265"/>
    </row>
    <row r="13" spans="3:16" ht="18.75" x14ac:dyDescent="0.25">
      <c r="C13" s="98" t="s">
        <v>301</v>
      </c>
      <c r="D13" s="98" t="s">
        <v>302</v>
      </c>
      <c r="E13" s="34"/>
      <c r="F13" s="29">
        <v>500</v>
      </c>
      <c r="G13" s="31">
        <v>2000</v>
      </c>
      <c r="H13" s="257"/>
      <c r="I13" s="257"/>
      <c r="J13" s="98" t="s">
        <v>301</v>
      </c>
      <c r="K13" s="98" t="s">
        <v>302</v>
      </c>
      <c r="L13" s="66"/>
      <c r="M13" s="67"/>
      <c r="N13" s="68"/>
      <c r="O13" s="265"/>
      <c r="P13" s="265"/>
    </row>
    <row r="14" spans="3:16" ht="15.75" x14ac:dyDescent="0.25">
      <c r="C14" s="99"/>
      <c r="D14" s="99"/>
      <c r="E14" s="36"/>
      <c r="F14" s="30" t="s">
        <v>303</v>
      </c>
      <c r="G14" s="32" t="s">
        <v>303</v>
      </c>
      <c r="H14" s="257"/>
      <c r="I14" s="257"/>
      <c r="J14" s="99"/>
      <c r="K14" s="99"/>
      <c r="L14" s="6"/>
      <c r="M14" s="30"/>
      <c r="N14" s="32"/>
      <c r="O14" s="265"/>
      <c r="P14" s="265"/>
    </row>
    <row r="15" spans="3:16" ht="18.75" x14ac:dyDescent="0.25">
      <c r="C15" s="98" t="s">
        <v>311</v>
      </c>
      <c r="D15" s="98" t="s">
        <v>309</v>
      </c>
      <c r="E15" s="34"/>
      <c r="F15" s="29">
        <v>500</v>
      </c>
      <c r="G15" s="31">
        <v>2000</v>
      </c>
      <c r="H15" s="257"/>
      <c r="I15" s="257"/>
      <c r="J15" s="98" t="s">
        <v>311</v>
      </c>
      <c r="K15" s="98" t="s">
        <v>309</v>
      </c>
      <c r="L15" s="66"/>
      <c r="M15" s="67"/>
      <c r="N15" s="68"/>
      <c r="O15" s="265"/>
      <c r="P15" s="265"/>
    </row>
    <row r="16" spans="3:16" ht="15.75" x14ac:dyDescent="0.25">
      <c r="C16" s="99"/>
      <c r="D16" s="99"/>
      <c r="E16" s="36"/>
      <c r="F16" s="30" t="s">
        <v>312</v>
      </c>
      <c r="G16" s="32" t="s">
        <v>312</v>
      </c>
      <c r="H16" s="257"/>
      <c r="I16" s="257"/>
      <c r="J16" s="99"/>
      <c r="K16" s="99"/>
      <c r="L16" s="6"/>
      <c r="M16" s="30"/>
      <c r="N16" s="32"/>
      <c r="O16" s="265"/>
      <c r="P16" s="265"/>
    </row>
    <row r="17" spans="3:16" ht="18.75" x14ac:dyDescent="0.25">
      <c r="C17" s="98" t="s">
        <v>313</v>
      </c>
      <c r="D17" s="98" t="s">
        <v>314</v>
      </c>
      <c r="E17" s="34"/>
      <c r="F17" s="29">
        <v>500</v>
      </c>
      <c r="G17" s="31">
        <v>2000</v>
      </c>
      <c r="H17" s="257"/>
      <c r="I17" s="257"/>
      <c r="J17" s="98" t="s">
        <v>313</v>
      </c>
      <c r="K17" s="98" t="s">
        <v>314</v>
      </c>
      <c r="L17" s="66"/>
      <c r="M17" s="67"/>
      <c r="N17" s="68"/>
      <c r="O17" s="265"/>
      <c r="P17" s="265"/>
    </row>
    <row r="18" spans="3:16" ht="15.75" x14ac:dyDescent="0.25">
      <c r="C18" s="99"/>
      <c r="D18" s="99"/>
      <c r="E18" s="35"/>
      <c r="F18" s="30" t="s">
        <v>251</v>
      </c>
      <c r="G18" s="32" t="s">
        <v>251</v>
      </c>
      <c r="H18" s="257"/>
      <c r="I18" s="257"/>
      <c r="J18" s="99"/>
      <c r="K18" s="99"/>
      <c r="L18" s="5"/>
      <c r="M18" s="30"/>
      <c r="N18" s="32"/>
      <c r="O18" s="265"/>
      <c r="P18" s="265"/>
    </row>
    <row r="19" spans="3:16" ht="18.75" x14ac:dyDescent="0.25">
      <c r="C19" s="98" t="s">
        <v>321</v>
      </c>
      <c r="D19" s="98" t="s">
        <v>349</v>
      </c>
      <c r="E19" s="34"/>
      <c r="F19" s="29">
        <v>500</v>
      </c>
      <c r="G19" s="31">
        <v>2000</v>
      </c>
      <c r="H19" s="257"/>
      <c r="I19" s="257"/>
      <c r="J19" s="98" t="s">
        <v>321</v>
      </c>
      <c r="K19" s="98" t="s">
        <v>349</v>
      </c>
      <c r="L19" s="66"/>
      <c r="M19" s="67"/>
      <c r="N19" s="68"/>
      <c r="O19" s="265"/>
      <c r="P19" s="265"/>
    </row>
    <row r="20" spans="3:16" ht="15.75" x14ac:dyDescent="0.25">
      <c r="C20" s="99"/>
      <c r="D20" s="99"/>
      <c r="E20" s="35"/>
      <c r="F20" s="30" t="s">
        <v>322</v>
      </c>
      <c r="G20" s="32" t="s">
        <v>322</v>
      </c>
      <c r="H20" s="257"/>
      <c r="I20" s="257"/>
      <c r="J20" s="99"/>
      <c r="K20" s="99"/>
      <c r="L20" s="5"/>
      <c r="M20" s="30"/>
      <c r="N20" s="32"/>
      <c r="O20" s="265"/>
      <c r="P20" s="265"/>
    </row>
    <row r="21" spans="3:16" ht="18.75" x14ac:dyDescent="0.25">
      <c r="C21" s="258" t="s">
        <v>711</v>
      </c>
      <c r="D21" s="259"/>
      <c r="E21" s="259"/>
      <c r="F21" s="259"/>
      <c r="G21" s="260"/>
      <c r="H21" s="257"/>
      <c r="I21" s="257"/>
      <c r="J21" s="98" t="s">
        <v>706</v>
      </c>
      <c r="K21" s="98" t="s">
        <v>708</v>
      </c>
      <c r="L21" s="66"/>
      <c r="M21" s="66"/>
      <c r="N21" s="68"/>
      <c r="O21" s="265"/>
      <c r="P21" s="265"/>
    </row>
    <row r="22" spans="3:16" x14ac:dyDescent="0.25">
      <c r="C22" s="261"/>
      <c r="D22" s="262"/>
      <c r="E22" s="262"/>
      <c r="F22" s="262"/>
      <c r="G22" s="263"/>
      <c r="H22" s="257"/>
      <c r="I22" s="257"/>
      <c r="J22" s="99"/>
      <c r="K22" s="99"/>
      <c r="L22" s="5"/>
      <c r="M22" s="5"/>
      <c r="N22" s="5"/>
      <c r="O22" s="265"/>
      <c r="P22" s="265"/>
    </row>
    <row r="23" spans="3:16" ht="18.75" x14ac:dyDescent="0.25">
      <c r="C23" s="98"/>
      <c r="D23" s="98"/>
      <c r="E23" s="4"/>
      <c r="F23" s="4"/>
      <c r="G23" s="4"/>
      <c r="H23" s="257"/>
      <c r="I23" s="257"/>
      <c r="J23" s="98" t="s">
        <v>707</v>
      </c>
      <c r="K23" s="98" t="s">
        <v>709</v>
      </c>
      <c r="L23" s="4"/>
      <c r="M23" s="4"/>
      <c r="N23" s="4"/>
      <c r="O23" s="265"/>
      <c r="P23" s="265"/>
    </row>
    <row r="24" spans="3:16" x14ac:dyDescent="0.25">
      <c r="C24" s="99"/>
      <c r="D24" s="99"/>
      <c r="E24" s="5"/>
      <c r="F24" s="5"/>
      <c r="G24" s="5"/>
      <c r="H24" s="257"/>
      <c r="I24" s="257"/>
      <c r="J24" s="99"/>
      <c r="K24" s="99"/>
      <c r="L24" s="5"/>
      <c r="M24" s="5"/>
      <c r="N24" s="5"/>
      <c r="O24" s="265"/>
      <c r="P24" s="265"/>
    </row>
    <row r="25" spans="3:16" ht="18.75" x14ac:dyDescent="0.25">
      <c r="C25" s="98"/>
      <c r="D25" s="98"/>
      <c r="E25" s="4"/>
      <c r="F25" s="4"/>
      <c r="G25" s="4"/>
      <c r="H25" s="257"/>
      <c r="I25" s="257"/>
      <c r="J25" s="98"/>
      <c r="K25" s="98"/>
      <c r="L25" s="4"/>
      <c r="M25" s="4"/>
      <c r="N25" s="4"/>
      <c r="O25" s="265"/>
      <c r="P25" s="265"/>
    </row>
    <row r="26" spans="3:16" x14ac:dyDescent="0.25">
      <c r="C26" s="99"/>
      <c r="D26" s="99"/>
      <c r="E26" s="5"/>
      <c r="F26" s="5"/>
      <c r="G26" s="5"/>
      <c r="H26" s="257"/>
      <c r="I26" s="257"/>
      <c r="J26" s="99"/>
      <c r="K26" s="99"/>
      <c r="L26" s="5"/>
      <c r="M26" s="5"/>
      <c r="N26" s="5"/>
      <c r="O26" s="265"/>
      <c r="P26" s="265"/>
    </row>
    <row r="27" spans="3:16" ht="18.75" x14ac:dyDescent="0.25">
      <c r="C27" s="98"/>
      <c r="D27" s="98"/>
      <c r="E27" s="4"/>
      <c r="F27" s="4"/>
      <c r="G27" s="4"/>
      <c r="H27" s="257"/>
      <c r="I27" s="257"/>
      <c r="J27" s="98"/>
      <c r="K27" s="98"/>
      <c r="L27" s="4"/>
      <c r="M27" s="4"/>
      <c r="N27" s="4"/>
      <c r="O27" s="265"/>
      <c r="P27" s="265"/>
    </row>
    <row r="28" spans="3:16" x14ac:dyDescent="0.25">
      <c r="C28" s="99"/>
      <c r="D28" s="99"/>
      <c r="E28" s="5"/>
      <c r="F28" s="5"/>
      <c r="G28" s="5"/>
      <c r="H28" s="257"/>
      <c r="I28" s="257"/>
      <c r="J28" s="99"/>
      <c r="K28" s="99"/>
      <c r="L28" s="5"/>
      <c r="M28" s="5"/>
      <c r="N28" s="5"/>
      <c r="O28" s="265"/>
      <c r="P28" s="265"/>
    </row>
    <row r="29" spans="3:16" ht="18.75" x14ac:dyDescent="0.25">
      <c r="C29" s="98"/>
      <c r="D29" s="98"/>
      <c r="E29" s="4"/>
      <c r="F29" s="4"/>
      <c r="G29" s="4"/>
      <c r="H29" s="257"/>
      <c r="I29" s="257"/>
      <c r="J29" s="98"/>
      <c r="K29" s="98"/>
      <c r="L29" s="4"/>
      <c r="M29" s="4"/>
      <c r="N29" s="4"/>
      <c r="O29" s="265"/>
      <c r="P29" s="265"/>
    </row>
    <row r="30" spans="3:16" x14ac:dyDescent="0.25">
      <c r="C30" s="99"/>
      <c r="D30" s="99"/>
      <c r="E30" s="6"/>
      <c r="F30" s="5"/>
      <c r="G30" s="5"/>
      <c r="H30" s="257"/>
      <c r="I30" s="257"/>
      <c r="J30" s="99"/>
      <c r="K30" s="99"/>
      <c r="L30" s="6"/>
      <c r="M30" s="5"/>
      <c r="N30" s="5"/>
      <c r="O30" s="265"/>
      <c r="P30" s="265"/>
    </row>
    <row r="31" spans="3:16" ht="18.75" x14ac:dyDescent="0.25">
      <c r="C31" s="98"/>
      <c r="D31" s="98"/>
      <c r="E31" s="4"/>
      <c r="F31" s="4"/>
      <c r="G31" s="4"/>
      <c r="H31" s="257"/>
      <c r="I31" s="257"/>
      <c r="J31" s="98"/>
      <c r="K31" s="98"/>
      <c r="L31" s="4"/>
      <c r="M31" s="4"/>
      <c r="N31" s="4"/>
      <c r="O31" s="265"/>
      <c r="P31" s="265"/>
    </row>
    <row r="32" spans="3:16" x14ac:dyDescent="0.25">
      <c r="C32" s="99"/>
      <c r="D32" s="99"/>
      <c r="E32" s="6"/>
      <c r="F32" s="5"/>
      <c r="G32" s="5"/>
      <c r="H32" s="257"/>
      <c r="I32" s="257"/>
      <c r="J32" s="99"/>
      <c r="K32" s="99"/>
      <c r="L32" s="6"/>
      <c r="M32" s="5"/>
      <c r="N32" s="5"/>
      <c r="O32" s="265"/>
      <c r="P32" s="265"/>
    </row>
    <row r="33" spans="3:16" ht="18.75" x14ac:dyDescent="0.25">
      <c r="C33" s="98"/>
      <c r="D33" s="98"/>
      <c r="E33" s="4"/>
      <c r="F33" s="4"/>
      <c r="G33" s="4"/>
      <c r="H33" s="257"/>
      <c r="I33" s="257"/>
      <c r="J33" s="98"/>
      <c r="K33" s="98"/>
      <c r="L33" s="4"/>
      <c r="M33" s="4"/>
      <c r="N33" s="4"/>
      <c r="O33" s="265"/>
      <c r="P33" s="265"/>
    </row>
    <row r="34" spans="3:16" x14ac:dyDescent="0.25">
      <c r="C34" s="99"/>
      <c r="D34" s="99"/>
      <c r="E34" s="6"/>
      <c r="F34" s="5"/>
      <c r="G34" s="5"/>
      <c r="H34" s="257"/>
      <c r="I34" s="257"/>
      <c r="J34" s="99"/>
      <c r="K34" s="99"/>
      <c r="L34" s="6"/>
      <c r="M34" s="5"/>
      <c r="N34" s="5"/>
      <c r="O34" s="265"/>
      <c r="P34" s="265"/>
    </row>
    <row r="35" spans="3:16" ht="18.75" x14ac:dyDescent="0.25">
      <c r="C35" s="98"/>
      <c r="D35" s="98"/>
      <c r="E35" s="4"/>
      <c r="F35" s="4"/>
      <c r="G35" s="4"/>
      <c r="H35" s="257"/>
      <c r="I35" s="257"/>
      <c r="J35" s="98"/>
      <c r="K35" s="98"/>
      <c r="L35" s="4"/>
      <c r="M35" s="4"/>
      <c r="N35" s="4"/>
      <c r="O35" s="265"/>
      <c r="P35" s="265"/>
    </row>
    <row r="36" spans="3:16" x14ac:dyDescent="0.25">
      <c r="C36" s="99"/>
      <c r="D36" s="99"/>
      <c r="E36" s="6"/>
      <c r="F36" s="6"/>
      <c r="G36" s="6"/>
      <c r="H36" s="257"/>
      <c r="I36" s="257"/>
      <c r="J36" s="99"/>
      <c r="K36" s="99"/>
      <c r="L36" s="6"/>
      <c r="M36" s="6"/>
      <c r="N36" s="6"/>
      <c r="O36" s="265"/>
      <c r="P36" s="265"/>
    </row>
    <row r="37" spans="3:16" ht="18.75" x14ac:dyDescent="0.25">
      <c r="C37" s="98"/>
      <c r="D37" s="98"/>
      <c r="E37" s="4"/>
      <c r="F37" s="4"/>
      <c r="G37" s="4"/>
      <c r="H37" s="257"/>
      <c r="I37" s="257"/>
      <c r="J37" s="98"/>
      <c r="K37" s="98"/>
      <c r="L37" s="4"/>
      <c r="M37" s="4"/>
      <c r="N37" s="4"/>
      <c r="O37" s="265"/>
      <c r="P37" s="265"/>
    </row>
    <row r="38" spans="3:16" x14ac:dyDescent="0.25">
      <c r="C38" s="99"/>
      <c r="D38" s="99"/>
      <c r="E38" s="6"/>
      <c r="F38" s="6"/>
      <c r="G38" s="6"/>
      <c r="H38" s="257"/>
      <c r="I38" s="257"/>
      <c r="J38" s="99"/>
      <c r="K38" s="99"/>
      <c r="L38" s="6"/>
      <c r="M38" s="6"/>
      <c r="N38" s="6"/>
      <c r="O38" s="265"/>
      <c r="P38" s="265"/>
    </row>
    <row r="39" spans="3:16" ht="18.75" x14ac:dyDescent="0.25">
      <c r="C39" s="98"/>
      <c r="D39" s="98"/>
      <c r="E39" s="4"/>
      <c r="F39" s="4"/>
      <c r="G39" s="4"/>
      <c r="H39" s="257"/>
      <c r="I39" s="257"/>
      <c r="J39" s="98"/>
      <c r="K39" s="98"/>
      <c r="L39" s="4"/>
      <c r="M39" s="4"/>
      <c r="N39" s="4"/>
      <c r="O39" s="265"/>
      <c r="P39" s="265"/>
    </row>
    <row r="40" spans="3:16" x14ac:dyDescent="0.25">
      <c r="C40" s="99"/>
      <c r="D40" s="99"/>
      <c r="E40" s="6"/>
      <c r="F40" s="6"/>
      <c r="G40" s="6"/>
      <c r="H40" s="257"/>
      <c r="I40" s="257"/>
      <c r="J40" s="99"/>
      <c r="K40" s="99"/>
      <c r="L40" s="6"/>
      <c r="M40" s="6"/>
      <c r="N40" s="6"/>
      <c r="O40" s="265"/>
      <c r="P40" s="265"/>
    </row>
    <row r="41" spans="3:16" ht="18.75" x14ac:dyDescent="0.25">
      <c r="C41" s="98"/>
      <c r="D41" s="98"/>
      <c r="E41" s="4"/>
      <c r="F41" s="4"/>
      <c r="G41" s="4"/>
      <c r="H41" s="257"/>
      <c r="I41" s="257"/>
      <c r="J41" s="98"/>
      <c r="K41" s="98"/>
      <c r="L41" s="4"/>
      <c r="M41" s="4"/>
      <c r="N41" s="4"/>
      <c r="O41" s="265"/>
      <c r="P41" s="265"/>
    </row>
    <row r="42" spans="3:16" x14ac:dyDescent="0.25">
      <c r="C42" s="99"/>
      <c r="D42" s="99"/>
      <c r="E42" s="6"/>
      <c r="F42" s="6"/>
      <c r="G42" s="6"/>
      <c r="H42" s="257"/>
      <c r="I42" s="257"/>
      <c r="J42" s="99"/>
      <c r="K42" s="99"/>
      <c r="L42" s="6"/>
      <c r="M42" s="6"/>
      <c r="N42" s="6"/>
      <c r="O42" s="265"/>
      <c r="P42" s="265"/>
    </row>
    <row r="43" spans="3:16" x14ac:dyDescent="0.25">
      <c r="C43" s="139"/>
      <c r="D43" s="57"/>
      <c r="E43" s="139"/>
      <c r="F43" s="139"/>
      <c r="G43" s="139"/>
      <c r="H43" s="257"/>
      <c r="I43" s="257"/>
      <c r="J43" s="139"/>
      <c r="K43" s="57"/>
      <c r="L43" s="139"/>
      <c r="M43" s="139"/>
      <c r="N43" s="139"/>
      <c r="O43" s="265"/>
      <c r="P43" s="265"/>
    </row>
    <row r="44" spans="3:16" x14ac:dyDescent="0.25">
      <c r="C44" s="140"/>
      <c r="D44" s="58"/>
      <c r="E44" s="140"/>
      <c r="F44" s="140"/>
      <c r="G44" s="140"/>
      <c r="H44" s="257"/>
      <c r="I44" s="257"/>
      <c r="J44" s="140"/>
      <c r="K44" s="58"/>
      <c r="L44" s="140"/>
      <c r="M44" s="140"/>
      <c r="N44" s="140"/>
      <c r="O44" s="265"/>
      <c r="P44" s="265"/>
    </row>
  </sheetData>
  <mergeCells count="83">
    <mergeCell ref="O4:P44"/>
    <mergeCell ref="G1:M2"/>
    <mergeCell ref="J41:J42"/>
    <mergeCell ref="K41:K42"/>
    <mergeCell ref="J43:J44"/>
    <mergeCell ref="L43:L44"/>
    <mergeCell ref="M43:M44"/>
    <mergeCell ref="N43:N44"/>
    <mergeCell ref="J35:J36"/>
    <mergeCell ref="K35:K36"/>
    <mergeCell ref="J37:J38"/>
    <mergeCell ref="K37:K38"/>
    <mergeCell ref="J39:J40"/>
    <mergeCell ref="K39:K40"/>
    <mergeCell ref="J29:J30"/>
    <mergeCell ref="K29:K30"/>
    <mergeCell ref="J31:J32"/>
    <mergeCell ref="K31:K32"/>
    <mergeCell ref="J33:J34"/>
    <mergeCell ref="K33:K34"/>
    <mergeCell ref="J23:J24"/>
    <mergeCell ref="K23:K24"/>
    <mergeCell ref="J25:J26"/>
    <mergeCell ref="K25:K26"/>
    <mergeCell ref="J27:J28"/>
    <mergeCell ref="K27:K28"/>
    <mergeCell ref="J17:J18"/>
    <mergeCell ref="K17:K18"/>
    <mergeCell ref="J19:J20"/>
    <mergeCell ref="K19:K20"/>
    <mergeCell ref="J21:J22"/>
    <mergeCell ref="K21:K22"/>
    <mergeCell ref="J11:J12"/>
    <mergeCell ref="K11:K12"/>
    <mergeCell ref="J13:J14"/>
    <mergeCell ref="K13:K14"/>
    <mergeCell ref="J15:J16"/>
    <mergeCell ref="K15:K16"/>
    <mergeCell ref="J7:J8"/>
    <mergeCell ref="K7:K8"/>
    <mergeCell ref="J9:J10"/>
    <mergeCell ref="K9:K10"/>
    <mergeCell ref="C43:C44"/>
    <mergeCell ref="E43:E44"/>
    <mergeCell ref="F43:F44"/>
    <mergeCell ref="G43:G44"/>
    <mergeCell ref="D25:D26"/>
    <mergeCell ref="C27:C28"/>
    <mergeCell ref="D27:D28"/>
    <mergeCell ref="C29:C30"/>
    <mergeCell ref="D29:D30"/>
    <mergeCell ref="C19:C20"/>
    <mergeCell ref="D19:D20"/>
    <mergeCell ref="C23:C24"/>
    <mergeCell ref="C4:G5"/>
    <mergeCell ref="H4:I44"/>
    <mergeCell ref="C21:G22"/>
    <mergeCell ref="C37:C38"/>
    <mergeCell ref="D37:D38"/>
    <mergeCell ref="C39:C40"/>
    <mergeCell ref="D39:D40"/>
    <mergeCell ref="C41:C42"/>
    <mergeCell ref="D41:D42"/>
    <mergeCell ref="C31:C32"/>
    <mergeCell ref="D31:D32"/>
    <mergeCell ref="C33:C34"/>
    <mergeCell ref="D33:D34"/>
    <mergeCell ref="C35:C36"/>
    <mergeCell ref="D35:D36"/>
    <mergeCell ref="C25:C26"/>
    <mergeCell ref="D23:D24"/>
    <mergeCell ref="C13:C14"/>
    <mergeCell ref="D13:D14"/>
    <mergeCell ref="C15:C16"/>
    <mergeCell ref="D15:D16"/>
    <mergeCell ref="C17:C18"/>
    <mergeCell ref="D17:D18"/>
    <mergeCell ref="C7:C8"/>
    <mergeCell ref="D7:D8"/>
    <mergeCell ref="C9:C10"/>
    <mergeCell ref="D9:D10"/>
    <mergeCell ref="C11:C12"/>
    <mergeCell ref="D11:D12"/>
  </mergeCells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A034-95E3-4796-82B3-311F675730E0}">
  <dimension ref="B3:X63"/>
  <sheetViews>
    <sheetView rightToLeft="1" topLeftCell="K7" workbookViewId="0">
      <selection activeCell="V34" sqref="V34:V35"/>
    </sheetView>
  </sheetViews>
  <sheetFormatPr defaultColWidth="11.42578125" defaultRowHeight="15" x14ac:dyDescent="0.25"/>
  <cols>
    <col min="2" max="2" width="16.7109375" bestFit="1" customWidth="1"/>
    <col min="3" max="3" width="23.85546875" customWidth="1"/>
    <col min="4" max="4" width="24.42578125" bestFit="1" customWidth="1"/>
    <col min="5" max="5" width="12.7109375" customWidth="1"/>
    <col min="6" max="6" width="15" customWidth="1"/>
    <col min="7" max="7" width="32.140625" bestFit="1" customWidth="1"/>
    <col min="8" max="8" width="14.85546875" customWidth="1"/>
    <col min="10" max="10" width="24.28515625" customWidth="1"/>
    <col min="11" max="11" width="21.5703125" bestFit="1" customWidth="1"/>
    <col min="12" max="12" width="20.85546875" customWidth="1"/>
    <col min="13" max="13" width="13" customWidth="1"/>
    <col min="14" max="14" width="14.140625" customWidth="1"/>
    <col min="15" max="15" width="15.42578125" customWidth="1"/>
    <col min="18" max="18" width="20.5703125" customWidth="1"/>
    <col min="19" max="19" width="20.5703125" bestFit="1" customWidth="1"/>
    <col min="20" max="20" width="26.5703125" bestFit="1" customWidth="1"/>
    <col min="22" max="22" width="17.28515625" bestFit="1" customWidth="1"/>
    <col min="23" max="23" width="35" bestFit="1" customWidth="1"/>
  </cols>
  <sheetData>
    <row r="3" spans="2:24" x14ac:dyDescent="0.25">
      <c r="B3" s="288" t="s">
        <v>577</v>
      </c>
      <c r="C3" s="289"/>
      <c r="D3" s="289"/>
      <c r="E3" s="289"/>
      <c r="F3" s="289"/>
      <c r="G3" s="290"/>
      <c r="J3" s="288" t="s">
        <v>642</v>
      </c>
      <c r="K3" s="289"/>
      <c r="L3" s="289"/>
      <c r="M3" s="289"/>
      <c r="N3" s="289"/>
      <c r="O3" s="290"/>
      <c r="R3" s="288" t="s">
        <v>836</v>
      </c>
      <c r="S3" s="289"/>
      <c r="T3" s="289"/>
      <c r="U3" s="289"/>
      <c r="V3" s="289"/>
      <c r="W3" s="290"/>
    </row>
    <row r="4" spans="2:24" x14ac:dyDescent="0.25">
      <c r="B4" s="291"/>
      <c r="C4" s="292"/>
      <c r="D4" s="292"/>
      <c r="E4" s="292"/>
      <c r="F4" s="292"/>
      <c r="G4" s="293"/>
      <c r="J4" s="291"/>
      <c r="K4" s="292"/>
      <c r="L4" s="292"/>
      <c r="M4" s="292"/>
      <c r="N4" s="292"/>
      <c r="O4" s="293"/>
      <c r="R4" s="291"/>
      <c r="S4" s="292"/>
      <c r="T4" s="292"/>
      <c r="U4" s="292"/>
      <c r="V4" s="292"/>
      <c r="W4" s="293"/>
    </row>
    <row r="5" spans="2:24" ht="19.5" thickBot="1" x14ac:dyDescent="0.3">
      <c r="B5" s="38" t="s">
        <v>218</v>
      </c>
      <c r="C5" s="39" t="s">
        <v>2</v>
      </c>
      <c r="D5" s="40" t="s">
        <v>361</v>
      </c>
      <c r="E5" s="41" t="s">
        <v>362</v>
      </c>
      <c r="F5" s="42" t="s">
        <v>363</v>
      </c>
      <c r="G5" s="43" t="s">
        <v>364</v>
      </c>
      <c r="J5" s="38" t="s">
        <v>218</v>
      </c>
      <c r="K5" s="39" t="s">
        <v>2</v>
      </c>
      <c r="L5" s="40" t="s">
        <v>361</v>
      </c>
      <c r="M5" s="41" t="s">
        <v>362</v>
      </c>
      <c r="N5" s="42" t="s">
        <v>363</v>
      </c>
      <c r="O5" s="43" t="s">
        <v>364</v>
      </c>
      <c r="R5" s="38" t="s">
        <v>218</v>
      </c>
      <c r="S5" s="39" t="s">
        <v>2</v>
      </c>
      <c r="T5" s="40" t="s">
        <v>361</v>
      </c>
      <c r="U5" s="41" t="s">
        <v>362</v>
      </c>
      <c r="V5" s="42" t="s">
        <v>363</v>
      </c>
      <c r="W5" s="43" t="s">
        <v>364</v>
      </c>
    </row>
    <row r="6" spans="2:24" ht="18.75" x14ac:dyDescent="0.25">
      <c r="B6" s="287" t="s">
        <v>367</v>
      </c>
      <c r="C6" s="28">
        <v>250</v>
      </c>
      <c r="D6" s="28">
        <v>1500</v>
      </c>
      <c r="E6" s="273" t="s">
        <v>365</v>
      </c>
      <c r="F6" s="198" t="s">
        <v>369</v>
      </c>
      <c r="G6" s="271" t="s">
        <v>370</v>
      </c>
      <c r="H6" s="281" t="s">
        <v>510</v>
      </c>
      <c r="J6" s="268" t="s">
        <v>665</v>
      </c>
      <c r="K6" s="30">
        <v>250</v>
      </c>
      <c r="L6" s="30">
        <v>1500</v>
      </c>
      <c r="M6" s="273" t="s">
        <v>365</v>
      </c>
      <c r="N6" s="198" t="s">
        <v>644</v>
      </c>
      <c r="O6" s="271"/>
      <c r="P6" s="281"/>
      <c r="R6" s="295" t="s">
        <v>837</v>
      </c>
      <c r="S6" s="30">
        <v>250</v>
      </c>
      <c r="T6" s="30">
        <v>2000</v>
      </c>
      <c r="U6" s="269" t="s">
        <v>839</v>
      </c>
      <c r="V6" s="198" t="s">
        <v>840</v>
      </c>
      <c r="W6" s="271"/>
    </row>
    <row r="7" spans="2:24" ht="15.75" x14ac:dyDescent="0.25">
      <c r="B7" s="287"/>
      <c r="C7" s="33" t="s">
        <v>368</v>
      </c>
      <c r="D7" s="33" t="s">
        <v>368</v>
      </c>
      <c r="E7" s="274"/>
      <c r="F7" s="199"/>
      <c r="G7" s="272"/>
      <c r="H7" s="282"/>
      <c r="J7" s="268"/>
      <c r="K7" s="30" t="s">
        <v>643</v>
      </c>
      <c r="L7" s="30" t="s">
        <v>690</v>
      </c>
      <c r="M7" s="274"/>
      <c r="N7" s="199"/>
      <c r="O7" s="272"/>
      <c r="P7" s="282"/>
      <c r="R7" s="284"/>
      <c r="S7" s="30" t="s">
        <v>838</v>
      </c>
      <c r="T7" s="30" t="s">
        <v>838</v>
      </c>
      <c r="U7" s="270"/>
      <c r="V7" s="199"/>
      <c r="W7" s="272"/>
    </row>
    <row r="8" spans="2:24" ht="15" customHeight="1" x14ac:dyDescent="0.25">
      <c r="B8" s="98" t="s">
        <v>38</v>
      </c>
      <c r="C8" s="2">
        <v>250</v>
      </c>
      <c r="D8" s="2">
        <v>2500</v>
      </c>
      <c r="E8" s="294" t="s">
        <v>55</v>
      </c>
      <c r="F8" s="98" t="s">
        <v>448</v>
      </c>
      <c r="G8" s="98" t="s">
        <v>40</v>
      </c>
      <c r="H8" s="281" t="s">
        <v>509</v>
      </c>
      <c r="J8" s="283" t="s">
        <v>673</v>
      </c>
      <c r="K8" s="30">
        <v>250</v>
      </c>
      <c r="L8" s="30">
        <v>1500</v>
      </c>
      <c r="M8" s="296" t="s">
        <v>365</v>
      </c>
      <c r="N8" s="198" t="s">
        <v>675</v>
      </c>
      <c r="O8" s="212" t="s">
        <v>676</v>
      </c>
      <c r="P8" s="281"/>
      <c r="R8" s="268" t="s">
        <v>287</v>
      </c>
      <c r="S8" s="30">
        <v>500</v>
      </c>
      <c r="T8" s="30">
        <v>4000</v>
      </c>
      <c r="U8" s="269" t="s">
        <v>883</v>
      </c>
      <c r="V8" s="198" t="s">
        <v>879</v>
      </c>
      <c r="W8" s="281" t="s">
        <v>880</v>
      </c>
    </row>
    <row r="9" spans="2:24" ht="15" customHeight="1" x14ac:dyDescent="0.25">
      <c r="B9" s="99"/>
      <c r="C9" s="2" t="s">
        <v>39</v>
      </c>
      <c r="D9" s="2" t="s">
        <v>39</v>
      </c>
      <c r="E9" s="99"/>
      <c r="F9" s="99"/>
      <c r="G9" s="99"/>
      <c r="H9" s="282"/>
      <c r="J9" s="284"/>
      <c r="K9" s="30" t="s">
        <v>674</v>
      </c>
      <c r="L9" s="30" t="s">
        <v>674</v>
      </c>
      <c r="M9" s="140"/>
      <c r="N9" s="140"/>
      <c r="O9" s="99"/>
      <c r="P9" s="282"/>
      <c r="R9" s="268"/>
      <c r="S9" s="30" t="s">
        <v>878</v>
      </c>
      <c r="T9" s="30" t="s">
        <v>878</v>
      </c>
      <c r="U9" s="270"/>
      <c r="V9" s="199"/>
      <c r="W9" s="282"/>
    </row>
    <row r="10" spans="2:24" ht="15.75" x14ac:dyDescent="0.25">
      <c r="B10" s="139" t="s">
        <v>225</v>
      </c>
      <c r="C10" s="2">
        <v>250</v>
      </c>
      <c r="D10" s="2"/>
      <c r="E10" s="274" t="s">
        <v>365</v>
      </c>
      <c r="F10" s="198" t="s">
        <v>512</v>
      </c>
      <c r="G10" s="98" t="s">
        <v>226</v>
      </c>
      <c r="H10" s="281" t="s">
        <v>509</v>
      </c>
      <c r="J10" s="283" t="s">
        <v>673</v>
      </c>
      <c r="K10" s="30">
        <v>250</v>
      </c>
      <c r="L10" s="30">
        <v>1500</v>
      </c>
      <c r="M10" s="286" t="s">
        <v>365</v>
      </c>
      <c r="N10" s="198" t="s">
        <v>512</v>
      </c>
      <c r="O10" s="98" t="s">
        <v>676</v>
      </c>
      <c r="P10" s="281"/>
      <c r="R10" s="268" t="s">
        <v>875</v>
      </c>
      <c r="S10" s="30">
        <v>250</v>
      </c>
      <c r="T10" s="30">
        <v>1500</v>
      </c>
      <c r="U10" s="269" t="s">
        <v>882</v>
      </c>
      <c r="V10" s="198" t="s">
        <v>776</v>
      </c>
      <c r="W10" s="271"/>
    </row>
    <row r="11" spans="2:24" ht="15" customHeight="1" x14ac:dyDescent="0.25">
      <c r="B11" s="140"/>
      <c r="C11" s="2" t="s">
        <v>227</v>
      </c>
      <c r="D11" s="2"/>
      <c r="E11" s="274"/>
      <c r="F11" s="199"/>
      <c r="G11" s="99"/>
      <c r="H11" s="282"/>
      <c r="J11" s="284"/>
      <c r="K11" s="30" t="s">
        <v>674</v>
      </c>
      <c r="L11" s="30" t="s">
        <v>674</v>
      </c>
      <c r="M11" s="286"/>
      <c r="N11" s="199"/>
      <c r="O11" s="99"/>
      <c r="P11" s="282"/>
      <c r="R11" s="268"/>
      <c r="S11" s="30" t="s">
        <v>881</v>
      </c>
      <c r="T11" s="30" t="s">
        <v>881</v>
      </c>
      <c r="U11" s="270"/>
      <c r="V11" s="199"/>
      <c r="W11" s="272"/>
    </row>
    <row r="12" spans="2:24" ht="15" customHeight="1" x14ac:dyDescent="0.25">
      <c r="B12" s="139" t="s">
        <v>231</v>
      </c>
      <c r="C12" s="2"/>
      <c r="D12" s="2">
        <v>1500</v>
      </c>
      <c r="E12" s="274" t="s">
        <v>365</v>
      </c>
      <c r="F12" s="198" t="s">
        <v>512</v>
      </c>
      <c r="G12" s="98" t="s">
        <v>185</v>
      </c>
      <c r="H12" s="281" t="s">
        <v>509</v>
      </c>
      <c r="J12" s="283" t="s">
        <v>677</v>
      </c>
      <c r="K12" s="30">
        <v>250</v>
      </c>
      <c r="L12" s="30">
        <v>1500</v>
      </c>
      <c r="M12" s="286" t="s">
        <v>365</v>
      </c>
      <c r="N12" s="198" t="s">
        <v>512</v>
      </c>
      <c r="O12" s="212" t="s">
        <v>676</v>
      </c>
      <c r="P12" s="281"/>
      <c r="R12" s="268" t="s">
        <v>771</v>
      </c>
      <c r="S12" s="2">
        <v>250</v>
      </c>
      <c r="T12" s="30">
        <v>2000</v>
      </c>
      <c r="U12" s="274" t="s">
        <v>392</v>
      </c>
      <c r="V12" s="198" t="s">
        <v>909</v>
      </c>
      <c r="W12" s="271" t="s">
        <v>912</v>
      </c>
      <c r="X12" s="182"/>
    </row>
    <row r="13" spans="2:24" ht="15" customHeight="1" x14ac:dyDescent="0.25">
      <c r="B13" s="140"/>
      <c r="C13" s="2"/>
      <c r="D13" s="2" t="s">
        <v>230</v>
      </c>
      <c r="E13" s="274"/>
      <c r="F13" s="199"/>
      <c r="G13" s="99"/>
      <c r="H13" s="282"/>
      <c r="J13" s="284"/>
      <c r="K13" s="30" t="s">
        <v>678</v>
      </c>
      <c r="L13" s="30" t="s">
        <v>678</v>
      </c>
      <c r="M13" s="286"/>
      <c r="N13" s="199"/>
      <c r="O13" s="99"/>
      <c r="P13" s="282"/>
      <c r="R13" s="268"/>
      <c r="S13" s="2" t="s">
        <v>908</v>
      </c>
      <c r="T13" s="2" t="s">
        <v>908</v>
      </c>
      <c r="U13" s="274"/>
      <c r="V13" s="199"/>
      <c r="W13" s="272"/>
      <c r="X13" s="183"/>
    </row>
    <row r="14" spans="2:24" ht="15" customHeight="1" x14ac:dyDescent="0.25">
      <c r="B14" s="139" t="s">
        <v>242</v>
      </c>
      <c r="C14" s="37" t="s">
        <v>266</v>
      </c>
      <c r="D14" s="2"/>
      <c r="E14" s="274" t="s">
        <v>365</v>
      </c>
      <c r="F14" s="198" t="s">
        <v>512</v>
      </c>
      <c r="G14" s="98"/>
      <c r="H14" s="281" t="s">
        <v>509</v>
      </c>
      <c r="J14" s="283" t="s">
        <v>677</v>
      </c>
      <c r="K14" s="30">
        <v>250</v>
      </c>
      <c r="L14" s="30">
        <v>1500</v>
      </c>
      <c r="M14" s="286" t="s">
        <v>365</v>
      </c>
      <c r="N14" s="198" t="s">
        <v>681</v>
      </c>
      <c r="O14" s="98" t="s">
        <v>676</v>
      </c>
      <c r="P14" s="281"/>
      <c r="R14" s="268" t="s">
        <v>910</v>
      </c>
      <c r="S14" s="2">
        <v>250</v>
      </c>
      <c r="T14" s="2">
        <v>2000</v>
      </c>
      <c r="U14" s="274" t="s">
        <v>392</v>
      </c>
      <c r="V14" s="198" t="s">
        <v>911</v>
      </c>
      <c r="W14" s="271" t="s">
        <v>915</v>
      </c>
    </row>
    <row r="15" spans="2:24" ht="15" customHeight="1" x14ac:dyDescent="0.25">
      <c r="B15" s="140"/>
      <c r="C15" s="37" t="s">
        <v>265</v>
      </c>
      <c r="D15" s="2"/>
      <c r="E15" s="274"/>
      <c r="F15" s="199"/>
      <c r="G15" s="99"/>
      <c r="H15" s="282"/>
      <c r="J15" s="284"/>
      <c r="K15" s="30" t="s">
        <v>680</v>
      </c>
      <c r="L15" s="30" t="s">
        <v>680</v>
      </c>
      <c r="M15" s="286"/>
      <c r="N15" s="199"/>
      <c r="O15" s="99"/>
      <c r="P15" s="282"/>
      <c r="R15" s="268"/>
      <c r="S15" s="2" t="s">
        <v>908</v>
      </c>
      <c r="T15" s="2" t="s">
        <v>908</v>
      </c>
      <c r="U15" s="274"/>
      <c r="V15" s="199"/>
      <c r="W15" s="272"/>
    </row>
    <row r="16" spans="2:24" ht="15" customHeight="1" x14ac:dyDescent="0.25">
      <c r="B16" s="139" t="s">
        <v>267</v>
      </c>
      <c r="C16" s="2">
        <v>250</v>
      </c>
      <c r="D16" s="2">
        <v>1500</v>
      </c>
      <c r="E16" s="274" t="s">
        <v>365</v>
      </c>
      <c r="F16" s="198" t="s">
        <v>512</v>
      </c>
      <c r="G16" s="98" t="s">
        <v>269</v>
      </c>
      <c r="H16" s="281" t="s">
        <v>510</v>
      </c>
      <c r="J16" s="283" t="s">
        <v>682</v>
      </c>
      <c r="K16" s="30">
        <v>250</v>
      </c>
      <c r="L16" s="30">
        <v>1500</v>
      </c>
      <c r="M16" s="286" t="s">
        <v>365</v>
      </c>
      <c r="N16" s="198" t="s">
        <v>681</v>
      </c>
      <c r="O16" s="98" t="s">
        <v>687</v>
      </c>
      <c r="P16" s="281"/>
      <c r="R16" s="268" t="s">
        <v>807</v>
      </c>
      <c r="S16" s="2">
        <v>250</v>
      </c>
      <c r="T16" s="30">
        <v>2000</v>
      </c>
      <c r="U16" s="273" t="s">
        <v>914</v>
      </c>
      <c r="V16" s="198" t="s">
        <v>911</v>
      </c>
      <c r="W16" s="271" t="s">
        <v>915</v>
      </c>
    </row>
    <row r="17" spans="2:23" ht="15" customHeight="1" x14ac:dyDescent="0.25">
      <c r="B17" s="140"/>
      <c r="C17" s="2" t="s">
        <v>268</v>
      </c>
      <c r="D17" s="2" t="s">
        <v>268</v>
      </c>
      <c r="E17" s="274"/>
      <c r="F17" s="199"/>
      <c r="G17" s="99"/>
      <c r="H17" s="282"/>
      <c r="J17" s="284"/>
      <c r="K17" s="30" t="s">
        <v>683</v>
      </c>
      <c r="L17" s="30" t="s">
        <v>683</v>
      </c>
      <c r="M17" s="286"/>
      <c r="N17" s="199"/>
      <c r="O17" s="99"/>
      <c r="P17" s="282"/>
      <c r="R17" s="268"/>
      <c r="S17" s="2" t="s">
        <v>913</v>
      </c>
      <c r="T17" s="2" t="s">
        <v>913</v>
      </c>
      <c r="U17" s="274"/>
      <c r="V17" s="199"/>
      <c r="W17" s="272"/>
    </row>
    <row r="18" spans="2:23" ht="15" customHeight="1" x14ac:dyDescent="0.25">
      <c r="B18" s="139" t="s">
        <v>270</v>
      </c>
      <c r="C18" s="2">
        <v>250</v>
      </c>
      <c r="D18" s="2"/>
      <c r="E18" s="274" t="s">
        <v>365</v>
      </c>
      <c r="F18" s="198" t="s">
        <v>512</v>
      </c>
      <c r="G18" s="98" t="s">
        <v>271</v>
      </c>
      <c r="H18" s="281" t="s">
        <v>509</v>
      </c>
      <c r="J18" s="283" t="s">
        <v>684</v>
      </c>
      <c r="K18" s="30">
        <v>250</v>
      </c>
      <c r="L18" s="30">
        <v>1500</v>
      </c>
      <c r="M18" s="286" t="s">
        <v>365</v>
      </c>
      <c r="N18" s="198" t="s">
        <v>681</v>
      </c>
      <c r="O18" s="98" t="s">
        <v>676</v>
      </c>
      <c r="P18" s="281"/>
      <c r="R18" s="198" t="s">
        <v>919</v>
      </c>
      <c r="S18" s="51">
        <v>250</v>
      </c>
      <c r="T18" s="51">
        <v>1500</v>
      </c>
      <c r="U18" s="212" t="s">
        <v>923</v>
      </c>
      <c r="V18" s="198" t="s">
        <v>681</v>
      </c>
      <c r="W18" s="271"/>
    </row>
    <row r="19" spans="2:23" ht="15" customHeight="1" x14ac:dyDescent="0.25">
      <c r="B19" s="140"/>
      <c r="C19" s="2" t="s">
        <v>264</v>
      </c>
      <c r="D19" s="2"/>
      <c r="E19" s="274"/>
      <c r="F19" s="199"/>
      <c r="G19" s="99"/>
      <c r="H19" s="282"/>
      <c r="J19" s="284"/>
      <c r="K19" s="30" t="s">
        <v>685</v>
      </c>
      <c r="L19" s="30" t="s">
        <v>685</v>
      </c>
      <c r="M19" s="286"/>
      <c r="N19" s="199"/>
      <c r="O19" s="99"/>
      <c r="P19" s="282"/>
      <c r="R19" s="199"/>
      <c r="S19" s="51" t="s">
        <v>920</v>
      </c>
      <c r="T19" s="51" t="s">
        <v>920</v>
      </c>
      <c r="U19" s="213"/>
      <c r="V19" s="199"/>
      <c r="W19" s="272"/>
    </row>
    <row r="20" spans="2:23" ht="15" customHeight="1" x14ac:dyDescent="0.25">
      <c r="B20" s="139" t="s">
        <v>371</v>
      </c>
      <c r="C20" s="2">
        <v>250</v>
      </c>
      <c r="D20" s="2"/>
      <c r="E20" s="274" t="s">
        <v>365</v>
      </c>
      <c r="F20" s="198" t="s">
        <v>512</v>
      </c>
      <c r="G20" s="98" t="s">
        <v>372</v>
      </c>
      <c r="H20" s="281" t="s">
        <v>509</v>
      </c>
      <c r="J20" s="283" t="s">
        <v>686</v>
      </c>
      <c r="K20" s="30">
        <v>250</v>
      </c>
      <c r="L20" s="30">
        <v>1500</v>
      </c>
      <c r="M20" s="285" t="s">
        <v>691</v>
      </c>
      <c r="N20" s="198" t="s">
        <v>681</v>
      </c>
      <c r="O20" s="98" t="s">
        <v>676</v>
      </c>
      <c r="P20" s="281"/>
      <c r="R20" s="268" t="s">
        <v>928</v>
      </c>
      <c r="S20" s="30">
        <v>250</v>
      </c>
      <c r="T20" s="30"/>
      <c r="U20" s="269" t="s">
        <v>883</v>
      </c>
      <c r="V20" s="198" t="s">
        <v>681</v>
      </c>
      <c r="W20" s="271" t="s">
        <v>930</v>
      </c>
    </row>
    <row r="21" spans="2:23" ht="15" customHeight="1" x14ac:dyDescent="0.25">
      <c r="B21" s="140"/>
      <c r="C21" s="2" t="s">
        <v>373</v>
      </c>
      <c r="D21" s="2"/>
      <c r="E21" s="274"/>
      <c r="F21" s="199"/>
      <c r="G21" s="99"/>
      <c r="H21" s="282"/>
      <c r="J21" s="284"/>
      <c r="K21" s="30" t="s">
        <v>688</v>
      </c>
      <c r="L21" s="30" t="s">
        <v>689</v>
      </c>
      <c r="M21" s="286"/>
      <c r="N21" s="199"/>
      <c r="O21" s="99"/>
      <c r="P21" s="282"/>
      <c r="R21" s="268"/>
      <c r="S21" s="30" t="s">
        <v>929</v>
      </c>
      <c r="T21" s="30"/>
      <c r="U21" s="270"/>
      <c r="V21" s="199"/>
      <c r="W21" s="272"/>
    </row>
    <row r="22" spans="2:23" ht="15" customHeight="1" x14ac:dyDescent="0.25">
      <c r="B22" s="139" t="s">
        <v>463</v>
      </c>
      <c r="C22" s="47">
        <v>250</v>
      </c>
      <c r="D22" s="2">
        <v>1500</v>
      </c>
      <c r="E22" s="274" t="s">
        <v>365</v>
      </c>
      <c r="F22" s="198" t="s">
        <v>512</v>
      </c>
      <c r="G22" s="98"/>
      <c r="H22" s="281" t="s">
        <v>510</v>
      </c>
      <c r="J22" s="283" t="s">
        <v>761</v>
      </c>
      <c r="K22" s="30">
        <v>250</v>
      </c>
      <c r="L22" s="30">
        <v>2000</v>
      </c>
      <c r="M22" s="286" t="s">
        <v>392</v>
      </c>
      <c r="N22" s="198" t="s">
        <v>763</v>
      </c>
      <c r="O22" s="98"/>
      <c r="P22" s="281"/>
      <c r="R22" s="268" t="s">
        <v>932</v>
      </c>
      <c r="S22" s="30">
        <v>250</v>
      </c>
      <c r="T22" s="30">
        <v>2000</v>
      </c>
      <c r="U22" s="269" t="s">
        <v>883</v>
      </c>
      <c r="V22" s="198" t="s">
        <v>934</v>
      </c>
      <c r="W22" s="271" t="s">
        <v>935</v>
      </c>
    </row>
    <row r="23" spans="2:23" ht="15" customHeight="1" x14ac:dyDescent="0.25">
      <c r="B23" s="140"/>
      <c r="C23" s="47" t="s">
        <v>464</v>
      </c>
      <c r="D23" s="2" t="s">
        <v>464</v>
      </c>
      <c r="E23" s="274"/>
      <c r="F23" s="199"/>
      <c r="G23" s="99"/>
      <c r="H23" s="282"/>
      <c r="J23" s="284"/>
      <c r="K23" s="30" t="s">
        <v>762</v>
      </c>
      <c r="L23" s="30" t="s">
        <v>762</v>
      </c>
      <c r="M23" s="286"/>
      <c r="N23" s="199"/>
      <c r="O23" s="99"/>
      <c r="P23" s="282"/>
      <c r="R23" s="268"/>
      <c r="S23" s="88" t="s">
        <v>933</v>
      </c>
      <c r="T23" s="88" t="s">
        <v>933</v>
      </c>
      <c r="U23" s="270"/>
      <c r="V23" s="199"/>
      <c r="W23" s="272"/>
    </row>
    <row r="24" spans="2:23" ht="15" customHeight="1" x14ac:dyDescent="0.25">
      <c r="B24" s="139" t="s">
        <v>458</v>
      </c>
      <c r="C24" s="2">
        <v>250</v>
      </c>
      <c r="D24" s="2">
        <v>1500</v>
      </c>
      <c r="E24" s="274" t="s">
        <v>365</v>
      </c>
      <c r="F24" s="198" t="s">
        <v>512</v>
      </c>
      <c r="G24" s="271"/>
      <c r="H24" s="279" t="s">
        <v>511</v>
      </c>
      <c r="J24" s="283" t="s">
        <v>761</v>
      </c>
      <c r="K24" s="30">
        <v>250</v>
      </c>
      <c r="L24" s="51">
        <v>2000</v>
      </c>
      <c r="M24" s="274" t="s">
        <v>392</v>
      </c>
      <c r="N24" s="198" t="s">
        <v>681</v>
      </c>
      <c r="O24" s="271"/>
      <c r="P24" s="279"/>
      <c r="R24" s="268" t="s">
        <v>936</v>
      </c>
      <c r="S24" s="30"/>
      <c r="T24" s="30">
        <v>2000</v>
      </c>
      <c r="U24" s="269" t="s">
        <v>883</v>
      </c>
      <c r="V24" s="198" t="s">
        <v>934</v>
      </c>
      <c r="W24" s="271"/>
    </row>
    <row r="25" spans="2:23" ht="15" customHeight="1" x14ac:dyDescent="0.25">
      <c r="B25" s="140"/>
      <c r="C25" s="2" t="s">
        <v>459</v>
      </c>
      <c r="D25" s="2" t="s">
        <v>459</v>
      </c>
      <c r="E25" s="274"/>
      <c r="F25" s="199"/>
      <c r="G25" s="272"/>
      <c r="H25" s="280"/>
      <c r="J25" s="284"/>
      <c r="K25" s="30" t="s">
        <v>764</v>
      </c>
      <c r="L25" s="30" t="s">
        <v>764</v>
      </c>
      <c r="M25" s="274"/>
      <c r="N25" s="199"/>
      <c r="O25" s="272"/>
      <c r="P25" s="280"/>
      <c r="R25" s="268"/>
      <c r="S25" s="30"/>
      <c r="T25" s="88" t="s">
        <v>937</v>
      </c>
      <c r="U25" s="270"/>
      <c r="V25" s="199"/>
      <c r="W25" s="272"/>
    </row>
    <row r="26" spans="2:23" ht="15" customHeight="1" x14ac:dyDescent="0.25">
      <c r="B26" s="58"/>
      <c r="C26" s="2"/>
      <c r="D26" s="2"/>
      <c r="E26" s="75"/>
      <c r="F26" s="78"/>
      <c r="G26" s="79"/>
      <c r="H26" s="90"/>
      <c r="J26" s="85"/>
      <c r="K26" s="30"/>
      <c r="L26" s="30"/>
      <c r="M26" s="75"/>
      <c r="N26" s="78"/>
      <c r="O26" s="79"/>
      <c r="P26" s="90"/>
      <c r="R26" s="268" t="s">
        <v>949</v>
      </c>
      <c r="S26" s="30">
        <v>250</v>
      </c>
      <c r="T26" s="30">
        <v>2500</v>
      </c>
      <c r="U26" s="273" t="s">
        <v>951</v>
      </c>
      <c r="V26" s="198" t="s">
        <v>952</v>
      </c>
      <c r="W26" s="271" t="s">
        <v>953</v>
      </c>
    </row>
    <row r="27" spans="2:23" ht="15" customHeight="1" x14ac:dyDescent="0.25">
      <c r="B27" s="58"/>
      <c r="C27" s="2"/>
      <c r="D27" s="2"/>
      <c r="E27" s="75"/>
      <c r="F27" s="78"/>
      <c r="G27" s="79"/>
      <c r="H27" s="90"/>
      <c r="J27" s="85"/>
      <c r="K27" s="30"/>
      <c r="L27" s="30"/>
      <c r="M27" s="75"/>
      <c r="N27" s="78"/>
      <c r="O27" s="79"/>
      <c r="P27" s="90"/>
      <c r="R27" s="268"/>
      <c r="S27" s="30" t="s">
        <v>950</v>
      </c>
      <c r="T27" s="30" t="s">
        <v>950</v>
      </c>
      <c r="U27" s="274"/>
      <c r="V27" s="199"/>
      <c r="W27" s="272"/>
    </row>
    <row r="28" spans="2:23" ht="18.75" x14ac:dyDescent="0.25">
      <c r="B28" s="287" t="s">
        <v>267</v>
      </c>
      <c r="C28" s="2">
        <v>250</v>
      </c>
      <c r="D28" s="28">
        <v>1500</v>
      </c>
      <c r="E28" s="274" t="s">
        <v>365</v>
      </c>
      <c r="F28" s="198" t="s">
        <v>536</v>
      </c>
      <c r="G28" s="271" t="s">
        <v>537</v>
      </c>
      <c r="H28" s="281" t="s">
        <v>510</v>
      </c>
      <c r="J28" s="268" t="s">
        <v>765</v>
      </c>
      <c r="K28" s="30">
        <v>250</v>
      </c>
      <c r="L28" s="30">
        <v>1500</v>
      </c>
      <c r="M28" s="274" t="s">
        <v>365</v>
      </c>
      <c r="N28" s="198" t="s">
        <v>681</v>
      </c>
      <c r="O28" s="271"/>
      <c r="P28" s="281"/>
      <c r="R28" s="268" t="s">
        <v>962</v>
      </c>
      <c r="S28" s="30">
        <v>250</v>
      </c>
      <c r="T28" s="30">
        <v>3000</v>
      </c>
      <c r="U28" s="273" t="s">
        <v>366</v>
      </c>
      <c r="V28" s="198" t="s">
        <v>964</v>
      </c>
      <c r="W28" s="271" t="s">
        <v>965</v>
      </c>
    </row>
    <row r="29" spans="2:23" ht="15" customHeight="1" x14ac:dyDescent="0.25">
      <c r="B29" s="287"/>
      <c r="C29" s="2" t="s">
        <v>535</v>
      </c>
      <c r="D29" s="2" t="s">
        <v>535</v>
      </c>
      <c r="E29" s="274"/>
      <c r="F29" s="199"/>
      <c r="G29" s="272"/>
      <c r="H29" s="282"/>
      <c r="J29" s="268"/>
      <c r="K29" s="30" t="s">
        <v>766</v>
      </c>
      <c r="L29" s="30" t="s">
        <v>766</v>
      </c>
      <c r="M29" s="274"/>
      <c r="N29" s="199"/>
      <c r="O29" s="272"/>
      <c r="P29" s="282"/>
      <c r="R29" s="268"/>
      <c r="S29" s="30" t="s">
        <v>963</v>
      </c>
      <c r="T29" s="30" t="s">
        <v>963</v>
      </c>
      <c r="U29" s="274"/>
      <c r="V29" s="199"/>
      <c r="W29" s="272"/>
    </row>
    <row r="30" spans="2:23" ht="18.75" x14ac:dyDescent="0.25">
      <c r="B30" s="287" t="s">
        <v>538</v>
      </c>
      <c r="C30" s="2">
        <v>250</v>
      </c>
      <c r="D30" s="28">
        <v>1500</v>
      </c>
      <c r="E30" s="274" t="s">
        <v>365</v>
      </c>
      <c r="F30" s="198" t="s">
        <v>536</v>
      </c>
      <c r="G30" s="271"/>
      <c r="H30" s="279" t="s">
        <v>511</v>
      </c>
      <c r="J30" s="268" t="s">
        <v>767</v>
      </c>
      <c r="K30" s="30">
        <v>250</v>
      </c>
      <c r="L30" s="30">
        <v>1500</v>
      </c>
      <c r="M30" s="274" t="s">
        <v>365</v>
      </c>
      <c r="N30" s="198" t="s">
        <v>681</v>
      </c>
      <c r="O30" s="271" t="s">
        <v>676</v>
      </c>
      <c r="P30" s="279"/>
      <c r="R30" s="268" t="s">
        <v>966</v>
      </c>
      <c r="S30" s="91">
        <v>250</v>
      </c>
      <c r="T30" s="30">
        <v>1500</v>
      </c>
      <c r="U30" s="273" t="s">
        <v>923</v>
      </c>
      <c r="V30" s="198" t="s">
        <v>681</v>
      </c>
      <c r="W30" s="271" t="s">
        <v>968</v>
      </c>
    </row>
    <row r="31" spans="2:23" ht="15" customHeight="1" x14ac:dyDescent="0.25">
      <c r="B31" s="287"/>
      <c r="C31" s="2" t="s">
        <v>539</v>
      </c>
      <c r="D31" s="2" t="s">
        <v>539</v>
      </c>
      <c r="E31" s="274"/>
      <c r="F31" s="199"/>
      <c r="G31" s="272"/>
      <c r="H31" s="280"/>
      <c r="J31" s="268"/>
      <c r="K31" s="30" t="s">
        <v>768</v>
      </c>
      <c r="L31" s="30" t="s">
        <v>766</v>
      </c>
      <c r="M31" s="274"/>
      <c r="N31" s="199"/>
      <c r="O31" s="272"/>
      <c r="P31" s="280"/>
      <c r="R31" s="268"/>
      <c r="S31" s="91"/>
      <c r="T31" s="30" t="s">
        <v>967</v>
      </c>
      <c r="U31" s="274"/>
      <c r="V31" s="199"/>
      <c r="W31" s="272"/>
    </row>
    <row r="32" spans="2:23" ht="18.75" x14ac:dyDescent="0.25">
      <c r="B32" s="287" t="s">
        <v>540</v>
      </c>
      <c r="C32" s="2">
        <v>250</v>
      </c>
      <c r="D32" s="28">
        <v>1500</v>
      </c>
      <c r="E32" s="274" t="s">
        <v>365</v>
      </c>
      <c r="F32" s="198" t="s">
        <v>536</v>
      </c>
      <c r="G32" s="271"/>
      <c r="H32" s="281" t="s">
        <v>510</v>
      </c>
      <c r="J32" s="198" t="s">
        <v>231</v>
      </c>
      <c r="K32" s="28" t="s">
        <v>726</v>
      </c>
      <c r="L32" s="2" t="s">
        <v>774</v>
      </c>
      <c r="M32" s="212" t="s">
        <v>365</v>
      </c>
      <c r="N32" s="78" t="s">
        <v>775</v>
      </c>
      <c r="O32" s="79"/>
      <c r="P32" s="80" t="s">
        <v>687</v>
      </c>
      <c r="R32" s="268" t="s">
        <v>978</v>
      </c>
      <c r="S32" s="30">
        <v>250</v>
      </c>
      <c r="T32" s="30">
        <v>2500</v>
      </c>
      <c r="U32" s="273" t="s">
        <v>981</v>
      </c>
      <c r="V32" s="198" t="s">
        <v>980</v>
      </c>
      <c r="W32" s="271"/>
    </row>
    <row r="33" spans="2:23" ht="15" customHeight="1" x14ac:dyDescent="0.25">
      <c r="B33" s="287"/>
      <c r="C33" s="2" t="s">
        <v>541</v>
      </c>
      <c r="D33" s="2" t="s">
        <v>541</v>
      </c>
      <c r="E33" s="274"/>
      <c r="F33" s="199"/>
      <c r="G33" s="272"/>
      <c r="H33" s="282"/>
      <c r="J33" s="199"/>
      <c r="K33" s="2" t="s">
        <v>773</v>
      </c>
      <c r="L33" s="2" t="s">
        <v>773</v>
      </c>
      <c r="M33" s="213"/>
      <c r="N33" s="78" t="s">
        <v>776</v>
      </c>
      <c r="O33" s="79"/>
      <c r="P33" s="80" t="s">
        <v>676</v>
      </c>
      <c r="R33" s="268"/>
      <c r="S33" s="30" t="s">
        <v>979</v>
      </c>
      <c r="T33" s="30" t="s">
        <v>979</v>
      </c>
      <c r="U33" s="274"/>
      <c r="V33" s="199"/>
      <c r="W33" s="272"/>
    </row>
    <row r="34" spans="2:23" ht="18.75" x14ac:dyDescent="0.25">
      <c r="B34" s="287" t="s">
        <v>542</v>
      </c>
      <c r="C34" s="2">
        <v>250</v>
      </c>
      <c r="D34" s="28">
        <v>2000</v>
      </c>
      <c r="E34" s="274" t="s">
        <v>402</v>
      </c>
      <c r="F34" s="198" t="s">
        <v>543</v>
      </c>
      <c r="G34" s="271" t="s">
        <v>544</v>
      </c>
      <c r="H34" s="182"/>
      <c r="J34" s="139" t="s">
        <v>155</v>
      </c>
      <c r="K34" s="2">
        <v>250</v>
      </c>
      <c r="L34" s="2">
        <v>750</v>
      </c>
      <c r="M34" s="2"/>
      <c r="N34" s="198" t="s">
        <v>809</v>
      </c>
      <c r="O34" s="271"/>
      <c r="P34" s="182"/>
      <c r="R34" s="268" t="s">
        <v>991</v>
      </c>
      <c r="S34" s="30">
        <v>250</v>
      </c>
      <c r="T34" s="30">
        <v>2000</v>
      </c>
      <c r="U34" s="273" t="s">
        <v>392</v>
      </c>
      <c r="V34" s="198" t="s">
        <v>934</v>
      </c>
      <c r="W34" s="271"/>
    </row>
    <row r="35" spans="2:23" ht="15.75" customHeight="1" x14ac:dyDescent="0.25">
      <c r="B35" s="287"/>
      <c r="C35" s="2" t="s">
        <v>268</v>
      </c>
      <c r="D35" s="2" t="s">
        <v>268</v>
      </c>
      <c r="E35" s="274"/>
      <c r="F35" s="199"/>
      <c r="G35" s="272"/>
      <c r="H35" s="183"/>
      <c r="J35" s="140"/>
      <c r="K35" s="2" t="s">
        <v>121</v>
      </c>
      <c r="L35" s="2" t="s">
        <v>121</v>
      </c>
      <c r="M35" s="2"/>
      <c r="N35" s="199"/>
      <c r="O35" s="272"/>
      <c r="P35" s="183"/>
      <c r="R35" s="268"/>
      <c r="S35" s="30" t="s">
        <v>979</v>
      </c>
      <c r="T35" s="30" t="s">
        <v>979</v>
      </c>
      <c r="U35" s="274"/>
      <c r="V35" s="199"/>
      <c r="W35" s="272"/>
    </row>
    <row r="36" spans="2:23" ht="18.75" x14ac:dyDescent="0.25">
      <c r="B36" s="287" t="s">
        <v>542</v>
      </c>
      <c r="C36" s="2">
        <v>250</v>
      </c>
      <c r="D36" s="28">
        <v>2000</v>
      </c>
      <c r="E36" s="274" t="s">
        <v>402</v>
      </c>
      <c r="F36" s="198" t="s">
        <v>545</v>
      </c>
      <c r="G36" s="271" t="s">
        <v>544</v>
      </c>
      <c r="H36" s="182"/>
      <c r="R36" s="268"/>
      <c r="S36" s="30"/>
      <c r="T36" s="30"/>
      <c r="U36" s="273"/>
      <c r="V36" s="198"/>
      <c r="W36" s="271"/>
    </row>
    <row r="37" spans="2:23" ht="15" customHeight="1" x14ac:dyDescent="0.25">
      <c r="B37" s="287"/>
      <c r="C37" s="2" t="s">
        <v>268</v>
      </c>
      <c r="D37" s="2" t="s">
        <v>268</v>
      </c>
      <c r="E37" s="274"/>
      <c r="F37" s="199"/>
      <c r="G37" s="272"/>
      <c r="H37" s="183"/>
      <c r="R37" s="268"/>
      <c r="S37" s="30"/>
      <c r="T37" s="30"/>
      <c r="U37" s="274"/>
      <c r="V37" s="199"/>
      <c r="W37" s="272"/>
    </row>
    <row r="38" spans="2:23" ht="18.75" x14ac:dyDescent="0.25">
      <c r="B38" s="287" t="s">
        <v>546</v>
      </c>
      <c r="C38" s="2">
        <v>250</v>
      </c>
      <c r="D38" s="28">
        <v>2000</v>
      </c>
      <c r="E38" s="274"/>
      <c r="F38" s="198" t="s">
        <v>548</v>
      </c>
      <c r="G38" s="271" t="s">
        <v>549</v>
      </c>
      <c r="H38" s="182"/>
      <c r="J38" s="268"/>
      <c r="K38" s="51"/>
      <c r="L38" s="30"/>
      <c r="M38" s="274"/>
      <c r="N38" s="198"/>
      <c r="O38" s="271"/>
      <c r="P38" s="182"/>
      <c r="R38" s="268"/>
      <c r="S38" s="30"/>
      <c r="T38" s="30"/>
      <c r="U38" s="273"/>
      <c r="V38" s="198"/>
      <c r="W38" s="271"/>
    </row>
    <row r="39" spans="2:23" ht="15.75" x14ac:dyDescent="0.25">
      <c r="B39" s="287"/>
      <c r="C39" s="2" t="s">
        <v>547</v>
      </c>
      <c r="D39" s="2" t="s">
        <v>547</v>
      </c>
      <c r="E39" s="274"/>
      <c r="F39" s="199"/>
      <c r="G39" s="272"/>
      <c r="H39" s="183"/>
      <c r="J39" s="268"/>
      <c r="K39" s="51"/>
      <c r="L39" s="51"/>
      <c r="M39" s="274"/>
      <c r="N39" s="199"/>
      <c r="O39" s="272"/>
      <c r="P39" s="183"/>
      <c r="R39" s="268"/>
      <c r="S39" s="30"/>
      <c r="T39" s="30"/>
      <c r="U39" s="274"/>
      <c r="V39" s="199"/>
      <c r="W39" s="272"/>
    </row>
    <row r="40" spans="2:23" ht="18.75" x14ac:dyDescent="0.25">
      <c r="B40" s="287" t="s">
        <v>550</v>
      </c>
      <c r="C40" s="2">
        <v>250</v>
      </c>
      <c r="D40" s="28">
        <v>2000</v>
      </c>
      <c r="E40" s="274"/>
      <c r="F40" s="198" t="s">
        <v>552</v>
      </c>
      <c r="G40" s="271" t="s">
        <v>553</v>
      </c>
      <c r="H40" s="182"/>
      <c r="J40" s="268"/>
      <c r="K40" s="51"/>
      <c r="L40" s="30"/>
      <c r="M40" s="274"/>
      <c r="N40" s="198"/>
      <c r="O40" s="271"/>
      <c r="P40" s="182"/>
      <c r="R40" s="268"/>
      <c r="S40" s="30"/>
      <c r="T40" s="30"/>
      <c r="U40" s="273"/>
      <c r="V40" s="198"/>
      <c r="W40" s="271"/>
    </row>
    <row r="41" spans="2:23" ht="15.75" x14ac:dyDescent="0.25">
      <c r="B41" s="287"/>
      <c r="C41" s="2" t="s">
        <v>551</v>
      </c>
      <c r="D41" s="2" t="s">
        <v>551</v>
      </c>
      <c r="E41" s="274"/>
      <c r="F41" s="199"/>
      <c r="G41" s="272"/>
      <c r="H41" s="183"/>
      <c r="J41" s="268"/>
      <c r="K41" s="51"/>
      <c r="L41" s="51"/>
      <c r="M41" s="274"/>
      <c r="N41" s="199"/>
      <c r="O41" s="272"/>
      <c r="P41" s="183"/>
      <c r="R41" s="268"/>
      <c r="S41" s="30"/>
      <c r="T41" s="30"/>
      <c r="U41" s="274"/>
      <c r="V41" s="199"/>
      <c r="W41" s="272"/>
    </row>
    <row r="42" spans="2:23" ht="18.75" x14ac:dyDescent="0.25">
      <c r="B42" s="287" t="s">
        <v>550</v>
      </c>
      <c r="C42" s="2">
        <v>250</v>
      </c>
      <c r="D42" s="28">
        <v>2000</v>
      </c>
      <c r="E42" s="274"/>
      <c r="F42" s="198" t="s">
        <v>554</v>
      </c>
      <c r="G42" s="271" t="s">
        <v>553</v>
      </c>
      <c r="H42" s="182"/>
      <c r="J42" s="268"/>
      <c r="K42" s="51"/>
      <c r="L42" s="30"/>
      <c r="M42" s="274"/>
      <c r="N42" s="198"/>
      <c r="O42" s="271"/>
      <c r="P42" s="182"/>
      <c r="R42" s="268"/>
      <c r="S42" s="30"/>
      <c r="T42" s="30"/>
      <c r="U42" s="273"/>
      <c r="V42" s="198"/>
      <c r="W42" s="271"/>
    </row>
    <row r="43" spans="2:23" ht="15" customHeight="1" x14ac:dyDescent="0.25">
      <c r="B43" s="287"/>
      <c r="C43" s="2" t="s">
        <v>551</v>
      </c>
      <c r="D43" s="2" t="s">
        <v>551</v>
      </c>
      <c r="E43" s="274"/>
      <c r="F43" s="199"/>
      <c r="G43" s="272"/>
      <c r="H43" s="183"/>
      <c r="J43" s="268"/>
      <c r="K43" s="51"/>
      <c r="L43" s="51"/>
      <c r="M43" s="274"/>
      <c r="N43" s="199"/>
      <c r="O43" s="272"/>
      <c r="P43" s="183"/>
      <c r="R43" s="268"/>
      <c r="S43" s="30"/>
      <c r="T43" s="30"/>
      <c r="U43" s="274"/>
      <c r="V43" s="199"/>
      <c r="W43" s="272"/>
    </row>
    <row r="44" spans="2:23" ht="18.75" x14ac:dyDescent="0.25">
      <c r="B44" s="287" t="s">
        <v>458</v>
      </c>
      <c r="C44" s="28">
        <v>250</v>
      </c>
      <c r="D44" s="28">
        <v>1500</v>
      </c>
      <c r="E44" s="274" t="s">
        <v>558</v>
      </c>
      <c r="F44" s="198" t="s">
        <v>556</v>
      </c>
      <c r="G44" s="271"/>
      <c r="H44" s="279" t="s">
        <v>511</v>
      </c>
      <c r="J44" s="268"/>
      <c r="K44" s="30"/>
      <c r="L44" s="30"/>
      <c r="M44" s="274"/>
      <c r="N44" s="198"/>
      <c r="O44" s="271"/>
      <c r="P44" s="279"/>
    </row>
    <row r="45" spans="2:23" ht="15" customHeight="1" x14ac:dyDescent="0.25">
      <c r="B45" s="287"/>
      <c r="C45" s="2" t="s">
        <v>555</v>
      </c>
      <c r="D45" s="2" t="s">
        <v>555</v>
      </c>
      <c r="E45" s="274"/>
      <c r="F45" s="199"/>
      <c r="G45" s="272"/>
      <c r="H45" s="280"/>
      <c r="J45" s="268"/>
      <c r="K45" s="51"/>
      <c r="L45" s="51"/>
      <c r="M45" s="274"/>
      <c r="N45" s="199"/>
      <c r="O45" s="272"/>
      <c r="P45" s="280"/>
    </row>
    <row r="46" spans="2:23" ht="18.75" x14ac:dyDescent="0.25">
      <c r="B46" s="287" t="s">
        <v>458</v>
      </c>
      <c r="C46" s="28">
        <v>250</v>
      </c>
      <c r="D46" s="28">
        <v>1500</v>
      </c>
      <c r="E46" s="274" t="s">
        <v>558</v>
      </c>
      <c r="F46" s="198" t="s">
        <v>557</v>
      </c>
      <c r="G46" s="271"/>
      <c r="H46" s="281" t="s">
        <v>510</v>
      </c>
      <c r="J46" s="268"/>
      <c r="K46" s="30"/>
      <c r="L46" s="30"/>
      <c r="M46" s="274"/>
      <c r="N46" s="198"/>
      <c r="O46" s="271"/>
      <c r="P46" s="281"/>
    </row>
    <row r="47" spans="2:23" ht="15" customHeight="1" x14ac:dyDescent="0.25">
      <c r="B47" s="287"/>
      <c r="C47" s="2" t="s">
        <v>555</v>
      </c>
      <c r="D47" s="2" t="s">
        <v>555</v>
      </c>
      <c r="E47" s="274"/>
      <c r="F47" s="199"/>
      <c r="G47" s="272"/>
      <c r="H47" s="282"/>
      <c r="J47" s="268"/>
      <c r="K47" s="51"/>
      <c r="L47" s="51"/>
      <c r="M47" s="274"/>
      <c r="N47" s="199"/>
      <c r="O47" s="272"/>
      <c r="P47" s="282"/>
    </row>
    <row r="48" spans="2:23" ht="18.75" x14ac:dyDescent="0.25">
      <c r="B48" s="287" t="s">
        <v>559</v>
      </c>
      <c r="C48" s="28">
        <v>250</v>
      </c>
      <c r="D48" s="28">
        <v>1500</v>
      </c>
      <c r="E48" s="274" t="s">
        <v>558</v>
      </c>
      <c r="F48" s="198" t="s">
        <v>556</v>
      </c>
      <c r="G48" s="271"/>
      <c r="H48" s="182"/>
      <c r="J48" s="268"/>
      <c r="K48" s="30"/>
      <c r="L48" s="30"/>
      <c r="M48" s="274"/>
      <c r="N48" s="198"/>
      <c r="O48" s="271"/>
      <c r="P48" s="182"/>
    </row>
    <row r="49" spans="2:16" ht="15" customHeight="1" x14ac:dyDescent="0.25">
      <c r="B49" s="287"/>
      <c r="C49" s="2" t="s">
        <v>560</v>
      </c>
      <c r="D49" s="2" t="s">
        <v>560</v>
      </c>
      <c r="E49" s="274"/>
      <c r="F49" s="199"/>
      <c r="G49" s="272"/>
      <c r="H49" s="183"/>
      <c r="J49" s="268"/>
      <c r="K49" s="51"/>
      <c r="L49" s="51"/>
      <c r="M49" s="274"/>
      <c r="N49" s="199"/>
      <c r="O49" s="272"/>
      <c r="P49" s="183"/>
    </row>
    <row r="50" spans="2:16" ht="18.75" x14ac:dyDescent="0.25">
      <c r="B50" s="287" t="s">
        <v>521</v>
      </c>
      <c r="C50" s="28">
        <v>250</v>
      </c>
      <c r="D50" s="28"/>
      <c r="E50" s="274" t="s">
        <v>402</v>
      </c>
      <c r="F50" s="198" t="s">
        <v>561</v>
      </c>
      <c r="G50" s="271" t="s">
        <v>562</v>
      </c>
      <c r="H50" s="182"/>
      <c r="J50" s="268"/>
      <c r="K50" s="30"/>
      <c r="L50" s="30"/>
      <c r="M50" s="274"/>
      <c r="N50" s="198"/>
      <c r="O50" s="271"/>
      <c r="P50" s="182"/>
    </row>
    <row r="51" spans="2:16" ht="15.75" x14ac:dyDescent="0.25">
      <c r="B51" s="287"/>
      <c r="C51" s="2" t="s">
        <v>565</v>
      </c>
      <c r="D51" s="33"/>
      <c r="E51" s="274"/>
      <c r="F51" s="199"/>
      <c r="G51" s="272"/>
      <c r="H51" s="183"/>
      <c r="J51" s="268"/>
      <c r="K51" s="51"/>
      <c r="L51" s="30"/>
      <c r="M51" s="274"/>
      <c r="N51" s="199"/>
      <c r="O51" s="272"/>
      <c r="P51" s="183"/>
    </row>
    <row r="52" spans="2:16" ht="18.75" x14ac:dyDescent="0.25">
      <c r="B52" s="287" t="s">
        <v>563</v>
      </c>
      <c r="C52" s="28">
        <v>250</v>
      </c>
      <c r="D52" s="28"/>
      <c r="E52" s="274" t="s">
        <v>558</v>
      </c>
      <c r="F52" s="198" t="s">
        <v>556</v>
      </c>
      <c r="G52" s="271"/>
      <c r="H52" s="279" t="s">
        <v>511</v>
      </c>
      <c r="J52" s="268"/>
      <c r="K52" s="30"/>
      <c r="L52" s="30"/>
      <c r="M52" s="274"/>
      <c r="N52" s="198"/>
      <c r="O52" s="271"/>
      <c r="P52" s="279"/>
    </row>
    <row r="53" spans="2:16" ht="15" customHeight="1" x14ac:dyDescent="0.25">
      <c r="B53" s="287"/>
      <c r="C53" s="2" t="s">
        <v>564</v>
      </c>
      <c r="D53" s="33"/>
      <c r="E53" s="274"/>
      <c r="F53" s="199"/>
      <c r="G53" s="272"/>
      <c r="H53" s="280"/>
      <c r="J53" s="268"/>
      <c r="K53" s="51"/>
      <c r="L53" s="30"/>
      <c r="M53" s="274"/>
      <c r="N53" s="199"/>
      <c r="O53" s="272"/>
      <c r="P53" s="280"/>
    </row>
    <row r="54" spans="2:16" ht="18.75" x14ac:dyDescent="0.25">
      <c r="B54" s="287" t="s">
        <v>566</v>
      </c>
      <c r="C54" s="28">
        <v>250</v>
      </c>
      <c r="D54" s="28">
        <v>1500</v>
      </c>
      <c r="E54" s="274" t="s">
        <v>568</v>
      </c>
      <c r="F54" s="198" t="s">
        <v>556</v>
      </c>
      <c r="G54" s="271"/>
      <c r="H54" s="182" t="s">
        <v>570</v>
      </c>
      <c r="J54" s="268"/>
      <c r="K54" s="30"/>
      <c r="L54" s="30"/>
      <c r="M54" s="274"/>
      <c r="N54" s="198"/>
      <c r="O54" s="271"/>
      <c r="P54" s="182"/>
    </row>
    <row r="55" spans="2:16" ht="15" customHeight="1" x14ac:dyDescent="0.25">
      <c r="B55" s="287"/>
      <c r="C55" s="2" t="s">
        <v>567</v>
      </c>
      <c r="D55" s="2" t="s">
        <v>567</v>
      </c>
      <c r="E55" s="274"/>
      <c r="F55" s="199"/>
      <c r="G55" s="272"/>
      <c r="H55" s="183"/>
      <c r="J55" s="268"/>
      <c r="K55" s="51"/>
      <c r="L55" s="51"/>
      <c r="M55" s="274"/>
      <c r="N55" s="199"/>
      <c r="O55" s="272"/>
      <c r="P55" s="183"/>
    </row>
    <row r="56" spans="2:16" ht="18.75" x14ac:dyDescent="0.25">
      <c r="B56" s="287" t="s">
        <v>566</v>
      </c>
      <c r="C56" s="28">
        <v>250</v>
      </c>
      <c r="D56" s="28">
        <v>1500</v>
      </c>
      <c r="E56" s="274" t="s">
        <v>568</v>
      </c>
      <c r="F56" s="198" t="s">
        <v>569</v>
      </c>
      <c r="G56" s="271"/>
      <c r="H56" s="182"/>
      <c r="J56" s="268"/>
      <c r="K56" s="30"/>
      <c r="L56" s="30"/>
      <c r="M56" s="274"/>
      <c r="N56" s="198"/>
      <c r="O56" s="271"/>
      <c r="P56" s="182"/>
    </row>
    <row r="57" spans="2:16" ht="15" customHeight="1" x14ac:dyDescent="0.25">
      <c r="B57" s="287"/>
      <c r="C57" s="2" t="s">
        <v>567</v>
      </c>
      <c r="D57" s="2" t="s">
        <v>567</v>
      </c>
      <c r="E57" s="274"/>
      <c r="F57" s="199"/>
      <c r="G57" s="272"/>
      <c r="H57" s="183"/>
      <c r="J57" s="268"/>
      <c r="K57" s="51"/>
      <c r="L57" s="51"/>
      <c r="M57" s="274"/>
      <c r="N57" s="199"/>
      <c r="O57" s="272"/>
      <c r="P57" s="183"/>
    </row>
    <row r="58" spans="2:16" ht="15" customHeight="1" x14ac:dyDescent="0.25">
      <c r="B58" s="287" t="s">
        <v>571</v>
      </c>
      <c r="C58" s="28">
        <v>250</v>
      </c>
      <c r="D58" s="28">
        <v>1500</v>
      </c>
      <c r="E58" s="274" t="s">
        <v>558</v>
      </c>
      <c r="F58" s="198" t="s">
        <v>556</v>
      </c>
      <c r="H58" s="279" t="s">
        <v>511</v>
      </c>
      <c r="J58" s="76"/>
      <c r="K58" s="51"/>
      <c r="L58" s="51"/>
      <c r="M58" s="75"/>
      <c r="N58" s="78"/>
      <c r="O58" s="79"/>
      <c r="P58" s="80"/>
    </row>
    <row r="59" spans="2:16" ht="15" customHeight="1" x14ac:dyDescent="0.25">
      <c r="B59" s="287"/>
      <c r="C59" s="2" t="s">
        <v>572</v>
      </c>
      <c r="D59" s="2" t="s">
        <v>572</v>
      </c>
      <c r="E59" s="274"/>
      <c r="F59" s="199"/>
      <c r="H59" s="280"/>
      <c r="J59" s="76"/>
      <c r="K59" s="51"/>
      <c r="L59" s="51"/>
      <c r="M59" s="75"/>
      <c r="N59" s="78"/>
      <c r="O59" s="79"/>
      <c r="P59" s="80"/>
    </row>
    <row r="60" spans="2:16" ht="15.75" x14ac:dyDescent="0.25">
      <c r="B60" s="275" t="s">
        <v>575</v>
      </c>
      <c r="C60" s="275">
        <v>6000</v>
      </c>
      <c r="D60" s="275">
        <v>33500</v>
      </c>
      <c r="E60" s="275">
        <v>39500</v>
      </c>
      <c r="G60" s="271"/>
      <c r="J60" s="268"/>
      <c r="K60" s="30"/>
      <c r="L60" s="30"/>
      <c r="M60" s="274"/>
      <c r="N60" s="198"/>
      <c r="O60" s="271"/>
      <c r="P60" s="279"/>
    </row>
    <row r="61" spans="2:16" ht="15" customHeight="1" x14ac:dyDescent="0.25">
      <c r="B61" s="276"/>
      <c r="C61" s="276"/>
      <c r="D61" s="276"/>
      <c r="E61" s="276"/>
      <c r="G61" s="272"/>
      <c r="J61" s="268"/>
      <c r="K61" s="51"/>
      <c r="L61" s="51"/>
      <c r="M61" s="274"/>
      <c r="N61" s="199"/>
      <c r="O61" s="272"/>
      <c r="P61" s="280"/>
    </row>
    <row r="62" spans="2:16" x14ac:dyDescent="0.25">
      <c r="J62" s="275" t="s">
        <v>575</v>
      </c>
      <c r="K62" s="277"/>
      <c r="L62" s="277"/>
      <c r="M62" s="275"/>
    </row>
    <row r="63" spans="2:16" x14ac:dyDescent="0.25">
      <c r="J63" s="276"/>
      <c r="K63" s="278"/>
      <c r="L63" s="278"/>
      <c r="M63" s="276"/>
    </row>
  </sheetData>
  <mergeCells count="339">
    <mergeCell ref="W34:W35"/>
    <mergeCell ref="W36:W37"/>
    <mergeCell ref="W38:W39"/>
    <mergeCell ref="W40:W41"/>
    <mergeCell ref="W42:W43"/>
    <mergeCell ref="R42:R43"/>
    <mergeCell ref="R36:R37"/>
    <mergeCell ref="R38:R39"/>
    <mergeCell ref="R40:R41"/>
    <mergeCell ref="U34:U35"/>
    <mergeCell ref="U36:U37"/>
    <mergeCell ref="U38:U39"/>
    <mergeCell ref="U40:U41"/>
    <mergeCell ref="U42:U43"/>
    <mergeCell ref="V34:V35"/>
    <mergeCell ref="V36:V37"/>
    <mergeCell ref="V38:V39"/>
    <mergeCell ref="V40:V41"/>
    <mergeCell ref="V42:V43"/>
    <mergeCell ref="J3:O4"/>
    <mergeCell ref="J6:J7"/>
    <mergeCell ref="M6:M7"/>
    <mergeCell ref="N6:N7"/>
    <mergeCell ref="O6:O7"/>
    <mergeCell ref="P6:P7"/>
    <mergeCell ref="J8:J9"/>
    <mergeCell ref="M8:M9"/>
    <mergeCell ref="N8:N9"/>
    <mergeCell ref="O8:O9"/>
    <mergeCell ref="P8:P9"/>
    <mergeCell ref="R3:W4"/>
    <mergeCell ref="R6:R7"/>
    <mergeCell ref="U6:U7"/>
    <mergeCell ref="V6:V7"/>
    <mergeCell ref="W6:W7"/>
    <mergeCell ref="R8:R9"/>
    <mergeCell ref="U8:U9"/>
    <mergeCell ref="V8:V9"/>
    <mergeCell ref="W8:W9"/>
    <mergeCell ref="B10:B11"/>
    <mergeCell ref="E10:E11"/>
    <mergeCell ref="F10:F11"/>
    <mergeCell ref="G10:G11"/>
    <mergeCell ref="H10:H11"/>
    <mergeCell ref="B8:B9"/>
    <mergeCell ref="E24:E25"/>
    <mergeCell ref="F24:F25"/>
    <mergeCell ref="G24:G25"/>
    <mergeCell ref="H24:H25"/>
    <mergeCell ref="G22:G23"/>
    <mergeCell ref="F16:F17"/>
    <mergeCell ref="G16:G17"/>
    <mergeCell ref="H16:H17"/>
    <mergeCell ref="E18:E19"/>
    <mergeCell ref="F18:F19"/>
    <mergeCell ref="G18:G19"/>
    <mergeCell ref="H18:H19"/>
    <mergeCell ref="E16:E17"/>
    <mergeCell ref="B3:G4"/>
    <mergeCell ref="B6:B7"/>
    <mergeCell ref="E6:E7"/>
    <mergeCell ref="F6:F7"/>
    <mergeCell ref="G6:G7"/>
    <mergeCell ref="E8:E9"/>
    <mergeCell ref="F8:F9"/>
    <mergeCell ref="G8:G9"/>
    <mergeCell ref="H8:H9"/>
    <mergeCell ref="H38:H39"/>
    <mergeCell ref="B20:B21"/>
    <mergeCell ref="B22:B23"/>
    <mergeCell ref="B24:B25"/>
    <mergeCell ref="B12:B13"/>
    <mergeCell ref="B14:B15"/>
    <mergeCell ref="B16:B17"/>
    <mergeCell ref="B18:B19"/>
    <mergeCell ref="H6:H7"/>
    <mergeCell ref="H12:H13"/>
    <mergeCell ref="H14:H15"/>
    <mergeCell ref="F20:F21"/>
    <mergeCell ref="G20:G21"/>
    <mergeCell ref="F12:F13"/>
    <mergeCell ref="G12:G13"/>
    <mergeCell ref="F14:F15"/>
    <mergeCell ref="G14:G15"/>
    <mergeCell ref="E20:E21"/>
    <mergeCell ref="E22:E23"/>
    <mergeCell ref="E12:E13"/>
    <mergeCell ref="E14:E15"/>
    <mergeCell ref="H20:H21"/>
    <mergeCell ref="H22:H23"/>
    <mergeCell ref="F22:F23"/>
    <mergeCell ref="H28:H29"/>
    <mergeCell ref="B30:B31"/>
    <mergeCell ref="E30:E31"/>
    <mergeCell ref="F30:F31"/>
    <mergeCell ref="G30:G31"/>
    <mergeCell ref="H30:H31"/>
    <mergeCell ref="B28:B29"/>
    <mergeCell ref="E28:E29"/>
    <mergeCell ref="F28:F29"/>
    <mergeCell ref="G28:G29"/>
    <mergeCell ref="B40:B41"/>
    <mergeCell ref="E40:E41"/>
    <mergeCell ref="F40:F41"/>
    <mergeCell ref="G40:G41"/>
    <mergeCell ref="H40:H41"/>
    <mergeCell ref="H32:H33"/>
    <mergeCell ref="B34:B35"/>
    <mergeCell ref="E34:E35"/>
    <mergeCell ref="F34:F35"/>
    <mergeCell ref="G34:G35"/>
    <mergeCell ref="H34:H35"/>
    <mergeCell ref="B32:B33"/>
    <mergeCell ref="E32:E33"/>
    <mergeCell ref="F32:F33"/>
    <mergeCell ref="G32:G33"/>
    <mergeCell ref="B36:B37"/>
    <mergeCell ref="E36:E37"/>
    <mergeCell ref="F36:F37"/>
    <mergeCell ref="G36:G37"/>
    <mergeCell ref="B38:B39"/>
    <mergeCell ref="E38:E39"/>
    <mergeCell ref="F38:F39"/>
    <mergeCell ref="H36:H37"/>
    <mergeCell ref="G38:G39"/>
    <mergeCell ref="B44:B45"/>
    <mergeCell ref="E44:E45"/>
    <mergeCell ref="F44:F45"/>
    <mergeCell ref="G44:G45"/>
    <mergeCell ref="H44:H45"/>
    <mergeCell ref="B42:B43"/>
    <mergeCell ref="E42:E43"/>
    <mergeCell ref="F42:F43"/>
    <mergeCell ref="G42:G43"/>
    <mergeCell ref="H42:H43"/>
    <mergeCell ref="B48:B49"/>
    <mergeCell ref="E48:E49"/>
    <mergeCell ref="F48:F49"/>
    <mergeCell ref="G48:G49"/>
    <mergeCell ref="H48:H49"/>
    <mergeCell ref="B46:B47"/>
    <mergeCell ref="E46:E47"/>
    <mergeCell ref="F46:F47"/>
    <mergeCell ref="G46:G47"/>
    <mergeCell ref="H46:H47"/>
    <mergeCell ref="B52:B53"/>
    <mergeCell ref="E52:E53"/>
    <mergeCell ref="F52:F53"/>
    <mergeCell ref="G52:G53"/>
    <mergeCell ref="H52:H53"/>
    <mergeCell ref="B50:B51"/>
    <mergeCell ref="E50:E51"/>
    <mergeCell ref="F50:F51"/>
    <mergeCell ref="G50:G51"/>
    <mergeCell ref="H50:H51"/>
    <mergeCell ref="B56:B57"/>
    <mergeCell ref="E56:E57"/>
    <mergeCell ref="F56:F57"/>
    <mergeCell ref="G56:G57"/>
    <mergeCell ref="H56:H57"/>
    <mergeCell ref="B54:B55"/>
    <mergeCell ref="E54:E55"/>
    <mergeCell ref="F54:F55"/>
    <mergeCell ref="G54:G55"/>
    <mergeCell ref="H54:H55"/>
    <mergeCell ref="B60:B61"/>
    <mergeCell ref="E60:E61"/>
    <mergeCell ref="C60:C61"/>
    <mergeCell ref="D60:D61"/>
    <mergeCell ref="B58:B59"/>
    <mergeCell ref="E58:E59"/>
    <mergeCell ref="F58:F59"/>
    <mergeCell ref="G60:G61"/>
    <mergeCell ref="H58:H59"/>
    <mergeCell ref="N10:N11"/>
    <mergeCell ref="O10:O11"/>
    <mergeCell ref="P10:P11"/>
    <mergeCell ref="J12:J13"/>
    <mergeCell ref="M12:M13"/>
    <mergeCell ref="N12:N13"/>
    <mergeCell ref="O12:O13"/>
    <mergeCell ref="P12:P13"/>
    <mergeCell ref="J14:J15"/>
    <mergeCell ref="M14:M15"/>
    <mergeCell ref="N14:N15"/>
    <mergeCell ref="O14:O15"/>
    <mergeCell ref="P14:P15"/>
    <mergeCell ref="J10:J11"/>
    <mergeCell ref="M10:M11"/>
    <mergeCell ref="J16:J17"/>
    <mergeCell ref="M16:M17"/>
    <mergeCell ref="N16:N17"/>
    <mergeCell ref="O16:O17"/>
    <mergeCell ref="P16:P17"/>
    <mergeCell ref="J18:J19"/>
    <mergeCell ref="M18:M19"/>
    <mergeCell ref="N18:N19"/>
    <mergeCell ref="O18:O19"/>
    <mergeCell ref="P18:P19"/>
    <mergeCell ref="J20:J21"/>
    <mergeCell ref="M20:M21"/>
    <mergeCell ref="N20:N21"/>
    <mergeCell ref="O20:O21"/>
    <mergeCell ref="P20:P21"/>
    <mergeCell ref="J22:J23"/>
    <mergeCell ref="M22:M23"/>
    <mergeCell ref="N22:N23"/>
    <mergeCell ref="O22:O23"/>
    <mergeCell ref="P22:P23"/>
    <mergeCell ref="P30:P31"/>
    <mergeCell ref="J34:J35"/>
    <mergeCell ref="N34:N35"/>
    <mergeCell ref="O34:O35"/>
    <mergeCell ref="P34:P35"/>
    <mergeCell ref="J32:J33"/>
    <mergeCell ref="M32:M33"/>
    <mergeCell ref="J24:J25"/>
    <mergeCell ref="M24:M25"/>
    <mergeCell ref="N24:N25"/>
    <mergeCell ref="O24:O25"/>
    <mergeCell ref="P24:P25"/>
    <mergeCell ref="J28:J29"/>
    <mergeCell ref="M28:M29"/>
    <mergeCell ref="N28:N29"/>
    <mergeCell ref="O28:O29"/>
    <mergeCell ref="P28:P29"/>
    <mergeCell ref="X12:X13"/>
    <mergeCell ref="J38:J39"/>
    <mergeCell ref="M38:M39"/>
    <mergeCell ref="N38:N39"/>
    <mergeCell ref="O38:O39"/>
    <mergeCell ref="P38:P39"/>
    <mergeCell ref="R28:R29"/>
    <mergeCell ref="R30:R31"/>
    <mergeCell ref="R32:R33"/>
    <mergeCell ref="U28:U29"/>
    <mergeCell ref="U30:U31"/>
    <mergeCell ref="U32:U33"/>
    <mergeCell ref="V28:V29"/>
    <mergeCell ref="V30:V31"/>
    <mergeCell ref="V32:V33"/>
    <mergeCell ref="W28:W29"/>
    <mergeCell ref="W30:W31"/>
    <mergeCell ref="W32:W33"/>
    <mergeCell ref="R34:R35"/>
    <mergeCell ref="R18:R19"/>
    <mergeCell ref="J30:J31"/>
    <mergeCell ref="M30:M31"/>
    <mergeCell ref="N30:N31"/>
    <mergeCell ref="O30:O31"/>
    <mergeCell ref="J40:J41"/>
    <mergeCell ref="M40:M41"/>
    <mergeCell ref="N40:N41"/>
    <mergeCell ref="O40:O41"/>
    <mergeCell ref="P40:P41"/>
    <mergeCell ref="J42:J43"/>
    <mergeCell ref="M42:M43"/>
    <mergeCell ref="N42:N43"/>
    <mergeCell ref="O42:O43"/>
    <mergeCell ref="P42:P43"/>
    <mergeCell ref="J44:J45"/>
    <mergeCell ref="M44:M45"/>
    <mergeCell ref="N44:N45"/>
    <mergeCell ref="O44:O45"/>
    <mergeCell ref="P44:P45"/>
    <mergeCell ref="J46:J47"/>
    <mergeCell ref="M46:M47"/>
    <mergeCell ref="N46:N47"/>
    <mergeCell ref="O46:O47"/>
    <mergeCell ref="P46:P47"/>
    <mergeCell ref="J48:J49"/>
    <mergeCell ref="M48:M49"/>
    <mergeCell ref="N48:N49"/>
    <mergeCell ref="O48:O49"/>
    <mergeCell ref="P48:P49"/>
    <mergeCell ref="J50:J51"/>
    <mergeCell ref="M50:M51"/>
    <mergeCell ref="N50:N51"/>
    <mergeCell ref="O50:O51"/>
    <mergeCell ref="P50:P51"/>
    <mergeCell ref="J52:J53"/>
    <mergeCell ref="M52:M53"/>
    <mergeCell ref="N52:N53"/>
    <mergeCell ref="O52:O53"/>
    <mergeCell ref="P52:P53"/>
    <mergeCell ref="J54:J55"/>
    <mergeCell ref="M54:M55"/>
    <mergeCell ref="N54:N55"/>
    <mergeCell ref="O54:O55"/>
    <mergeCell ref="P54:P55"/>
    <mergeCell ref="J62:J63"/>
    <mergeCell ref="K62:K63"/>
    <mergeCell ref="L62:L63"/>
    <mergeCell ref="M62:M63"/>
    <mergeCell ref="J56:J57"/>
    <mergeCell ref="M56:M57"/>
    <mergeCell ref="N56:N57"/>
    <mergeCell ref="O56:O57"/>
    <mergeCell ref="P56:P57"/>
    <mergeCell ref="J60:J61"/>
    <mergeCell ref="M60:M61"/>
    <mergeCell ref="N60:N61"/>
    <mergeCell ref="O60:O61"/>
    <mergeCell ref="P60:P61"/>
    <mergeCell ref="R10:R11"/>
    <mergeCell ref="U10:U11"/>
    <mergeCell ref="V10:V11"/>
    <mergeCell ref="W10:W11"/>
    <mergeCell ref="R14:R15"/>
    <mergeCell ref="U14:U15"/>
    <mergeCell ref="V14:V15"/>
    <mergeCell ref="W14:W15"/>
    <mergeCell ref="R16:R17"/>
    <mergeCell ref="U16:U17"/>
    <mergeCell ref="V16:V17"/>
    <mergeCell ref="W16:W17"/>
    <mergeCell ref="R12:R13"/>
    <mergeCell ref="U12:U13"/>
    <mergeCell ref="V12:V13"/>
    <mergeCell ref="W12:W13"/>
    <mergeCell ref="R24:R25"/>
    <mergeCell ref="U24:U25"/>
    <mergeCell ref="V24:V25"/>
    <mergeCell ref="W24:W25"/>
    <mergeCell ref="R26:R27"/>
    <mergeCell ref="U26:U27"/>
    <mergeCell ref="V26:V27"/>
    <mergeCell ref="W26:W27"/>
    <mergeCell ref="U18:U19"/>
    <mergeCell ref="V18:V19"/>
    <mergeCell ref="W18:W19"/>
    <mergeCell ref="R20:R21"/>
    <mergeCell ref="U20:U21"/>
    <mergeCell ref="V20:V21"/>
    <mergeCell ref="W20:W21"/>
    <mergeCell ref="R22:R23"/>
    <mergeCell ref="U22:U23"/>
    <mergeCell ref="V22:V23"/>
    <mergeCell ref="W22:W23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5C146-3EC9-4F30-BB3C-B04930667E03}">
  <dimension ref="B5:S72"/>
  <sheetViews>
    <sheetView rightToLeft="1" topLeftCell="D4" zoomScale="77" zoomScaleNormal="77" workbookViewId="0">
      <selection activeCell="O28" sqref="O28"/>
    </sheetView>
  </sheetViews>
  <sheetFormatPr defaultColWidth="11.42578125" defaultRowHeight="15" x14ac:dyDescent="0.25"/>
  <cols>
    <col min="3" max="3" width="18.85546875" customWidth="1"/>
    <col min="4" max="4" width="19.7109375" customWidth="1"/>
    <col min="5" max="6" width="30" bestFit="1" customWidth="1"/>
    <col min="7" max="7" width="20.85546875" customWidth="1"/>
    <col min="8" max="8" width="20.7109375" customWidth="1"/>
    <col min="9" max="9" width="19" customWidth="1"/>
    <col min="13" max="13" width="9.85546875" customWidth="1"/>
    <col min="14" max="14" width="24" customWidth="1"/>
    <col min="15" max="15" width="29" customWidth="1"/>
    <col min="16" max="16" width="30.28515625" customWidth="1"/>
    <col min="17" max="17" width="18.42578125" customWidth="1"/>
    <col min="18" max="18" width="18.7109375" customWidth="1"/>
    <col min="19" max="19" width="34.28515625" customWidth="1"/>
  </cols>
  <sheetData>
    <row r="5" spans="2:19" x14ac:dyDescent="0.25">
      <c r="N5" s="312" t="s">
        <v>667</v>
      </c>
      <c r="O5" s="312"/>
      <c r="P5" s="312"/>
      <c r="Q5" s="312"/>
      <c r="R5" s="312"/>
      <c r="S5" s="312"/>
    </row>
    <row r="6" spans="2:19" ht="15" customHeight="1" x14ac:dyDescent="0.25">
      <c r="N6" s="312"/>
      <c r="O6" s="312"/>
      <c r="P6" s="312"/>
      <c r="Q6" s="312"/>
      <c r="R6" s="312"/>
      <c r="S6" s="312"/>
    </row>
    <row r="7" spans="2:19" ht="15" customHeight="1" x14ac:dyDescent="0.25">
      <c r="N7" s="312"/>
      <c r="O7" s="312"/>
      <c r="P7" s="312"/>
      <c r="Q7" s="312"/>
      <c r="R7" s="312"/>
      <c r="S7" s="312"/>
    </row>
    <row r="8" spans="2:19" ht="29.25" customHeight="1" thickBot="1" x14ac:dyDescent="0.3">
      <c r="D8" s="288" t="s">
        <v>666</v>
      </c>
      <c r="E8" s="289"/>
      <c r="F8" s="289"/>
      <c r="G8" s="289"/>
      <c r="H8" s="289"/>
      <c r="I8" s="290"/>
      <c r="N8" s="63" t="s">
        <v>218</v>
      </c>
      <c r="O8" s="46" t="s">
        <v>2</v>
      </c>
      <c r="P8" s="77" t="s">
        <v>361</v>
      </c>
      <c r="Q8" s="46" t="s">
        <v>362</v>
      </c>
      <c r="R8" s="46" t="s">
        <v>363</v>
      </c>
      <c r="S8" s="77" t="s">
        <v>364</v>
      </c>
    </row>
    <row r="9" spans="2:19" ht="26.25" customHeight="1" x14ac:dyDescent="0.25">
      <c r="D9" s="291"/>
      <c r="E9" s="292"/>
      <c r="F9" s="292"/>
      <c r="G9" s="292"/>
      <c r="H9" s="292"/>
      <c r="I9" s="293"/>
      <c r="N9" s="303" t="s">
        <v>668</v>
      </c>
      <c r="O9" s="89">
        <v>250</v>
      </c>
      <c r="P9" s="89">
        <v>3000</v>
      </c>
      <c r="Q9" s="294" t="s">
        <v>366</v>
      </c>
      <c r="R9" s="296" t="s">
        <v>670</v>
      </c>
      <c r="S9" s="296"/>
    </row>
    <row r="10" spans="2:19" ht="33.75" customHeight="1" thickBot="1" x14ac:dyDescent="0.3">
      <c r="D10" s="63" t="s">
        <v>218</v>
      </c>
      <c r="E10" s="46" t="s">
        <v>2</v>
      </c>
      <c r="F10" s="64" t="s">
        <v>361</v>
      </c>
      <c r="G10" s="46" t="s">
        <v>362</v>
      </c>
      <c r="H10" s="46" t="s">
        <v>363</v>
      </c>
      <c r="I10" s="43" t="s">
        <v>364</v>
      </c>
      <c r="N10" s="304"/>
      <c r="O10" s="89" t="s">
        <v>669</v>
      </c>
      <c r="P10" s="89" t="s">
        <v>669</v>
      </c>
      <c r="Q10" s="300"/>
      <c r="R10" s="304"/>
      <c r="S10" s="304"/>
    </row>
    <row r="11" spans="2:19" ht="33" customHeight="1" x14ac:dyDescent="0.25">
      <c r="D11" s="299" t="s">
        <v>381</v>
      </c>
      <c r="E11" s="32">
        <v>250</v>
      </c>
      <c r="F11" s="28"/>
      <c r="G11" s="274" t="s">
        <v>366</v>
      </c>
      <c r="H11" s="198" t="s">
        <v>378</v>
      </c>
      <c r="I11" s="214" t="s">
        <v>379</v>
      </c>
      <c r="J11" s="281"/>
      <c r="N11" s="296" t="s">
        <v>671</v>
      </c>
      <c r="O11" s="89">
        <v>250</v>
      </c>
      <c r="P11" s="89">
        <v>3000</v>
      </c>
      <c r="Q11" s="294" t="s">
        <v>366</v>
      </c>
      <c r="R11" s="296" t="s">
        <v>410</v>
      </c>
      <c r="S11" s="296"/>
    </row>
    <row r="12" spans="2:19" ht="27.75" customHeight="1" x14ac:dyDescent="0.25">
      <c r="D12" s="287"/>
      <c r="E12" s="32" t="s">
        <v>377</v>
      </c>
      <c r="F12" s="33"/>
      <c r="G12" s="274"/>
      <c r="H12" s="199"/>
      <c r="I12" s="272"/>
      <c r="J12" s="282"/>
      <c r="N12" s="304"/>
      <c r="O12" s="89" t="s">
        <v>672</v>
      </c>
      <c r="P12" s="89" t="s">
        <v>672</v>
      </c>
      <c r="Q12" s="300"/>
      <c r="R12" s="304"/>
      <c r="S12" s="304"/>
    </row>
    <row r="13" spans="2:19" ht="25.5" customHeight="1" x14ac:dyDescent="0.25">
      <c r="D13" s="299" t="s">
        <v>380</v>
      </c>
      <c r="E13" s="32">
        <v>250</v>
      </c>
      <c r="F13" s="28"/>
      <c r="G13" s="274" t="s">
        <v>366</v>
      </c>
      <c r="H13" s="198" t="s">
        <v>383</v>
      </c>
      <c r="I13" s="214" t="s">
        <v>379</v>
      </c>
      <c r="J13" s="198"/>
      <c r="N13" s="296" t="s">
        <v>735</v>
      </c>
      <c r="O13" s="89">
        <v>250</v>
      </c>
      <c r="P13" s="89">
        <v>3000</v>
      </c>
      <c r="Q13" s="294" t="s">
        <v>366</v>
      </c>
      <c r="R13" s="296" t="s">
        <v>770</v>
      </c>
      <c r="S13" s="305"/>
    </row>
    <row r="14" spans="2:19" ht="20.25" customHeight="1" x14ac:dyDescent="0.25">
      <c r="D14" s="287"/>
      <c r="E14" s="32" t="s">
        <v>382</v>
      </c>
      <c r="F14" s="33"/>
      <c r="G14" s="274"/>
      <c r="H14" s="199"/>
      <c r="I14" s="272"/>
      <c r="J14" s="199"/>
      <c r="N14" s="304"/>
      <c r="O14" s="89" t="s">
        <v>769</v>
      </c>
      <c r="P14" s="89" t="s">
        <v>769</v>
      </c>
      <c r="Q14" s="300"/>
      <c r="R14" s="304"/>
      <c r="S14" s="306"/>
    </row>
    <row r="15" spans="2:19" ht="18.75" customHeight="1" x14ac:dyDescent="0.25">
      <c r="B15" s="61"/>
      <c r="C15" s="61"/>
      <c r="D15" s="287" t="s">
        <v>391</v>
      </c>
      <c r="E15" s="32">
        <v>250</v>
      </c>
      <c r="F15" s="28">
        <v>2000</v>
      </c>
      <c r="G15" s="274" t="s">
        <v>392</v>
      </c>
      <c r="H15" s="198" t="s">
        <v>393</v>
      </c>
      <c r="I15" s="271"/>
      <c r="J15" s="182"/>
      <c r="N15" s="296" t="s">
        <v>771</v>
      </c>
      <c r="O15" s="89">
        <v>250</v>
      </c>
      <c r="P15" s="89">
        <v>2000</v>
      </c>
      <c r="Q15" s="294" t="s">
        <v>392</v>
      </c>
      <c r="R15" s="296"/>
      <c r="S15" s="305"/>
    </row>
    <row r="16" spans="2:19" ht="15" customHeight="1" x14ac:dyDescent="0.25">
      <c r="B16" s="61"/>
      <c r="C16" s="61"/>
      <c r="D16" s="287"/>
      <c r="E16" s="32" t="s">
        <v>396</v>
      </c>
      <c r="F16" s="32" t="s">
        <v>396</v>
      </c>
      <c r="G16" s="274"/>
      <c r="H16" s="199"/>
      <c r="I16" s="272"/>
      <c r="J16" s="183"/>
      <c r="N16" s="304"/>
      <c r="O16" s="89" t="s">
        <v>717</v>
      </c>
      <c r="P16" s="89" t="s">
        <v>717</v>
      </c>
      <c r="Q16" s="300"/>
      <c r="R16" s="304"/>
      <c r="S16" s="306"/>
    </row>
    <row r="17" spans="4:19" ht="18.75" customHeight="1" x14ac:dyDescent="0.25">
      <c r="D17" s="198" t="s">
        <v>394</v>
      </c>
      <c r="E17" s="32">
        <v>250</v>
      </c>
      <c r="F17" s="28">
        <v>3000</v>
      </c>
      <c r="G17" s="274" t="s">
        <v>55</v>
      </c>
      <c r="H17" s="198" t="s">
        <v>395</v>
      </c>
      <c r="I17" s="271"/>
      <c r="J17" s="182"/>
      <c r="N17" s="296" t="s">
        <v>772</v>
      </c>
      <c r="O17" s="89"/>
      <c r="P17" s="89">
        <v>500</v>
      </c>
      <c r="Q17" s="294"/>
      <c r="R17" s="296"/>
      <c r="S17" s="305"/>
    </row>
    <row r="18" spans="4:19" ht="15" customHeight="1" x14ac:dyDescent="0.25">
      <c r="D18" s="199"/>
      <c r="E18" s="32" t="s">
        <v>397</v>
      </c>
      <c r="F18" s="32" t="s">
        <v>397</v>
      </c>
      <c r="G18" s="274"/>
      <c r="H18" s="199"/>
      <c r="I18" s="272"/>
      <c r="J18" s="183"/>
      <c r="N18" s="304"/>
      <c r="O18" s="89"/>
      <c r="P18" s="89" t="s">
        <v>719</v>
      </c>
      <c r="Q18" s="300"/>
      <c r="R18" s="304"/>
      <c r="S18" s="306"/>
    </row>
    <row r="19" spans="4:19" ht="18.75" customHeight="1" x14ac:dyDescent="0.25">
      <c r="D19" s="198" t="s">
        <v>398</v>
      </c>
      <c r="E19" s="32">
        <v>250</v>
      </c>
      <c r="F19" s="28">
        <v>3000</v>
      </c>
      <c r="G19" s="274" t="s">
        <v>55</v>
      </c>
      <c r="H19" s="198" t="s">
        <v>400</v>
      </c>
      <c r="I19" s="271"/>
      <c r="J19" s="182"/>
      <c r="N19" s="296" t="s">
        <v>435</v>
      </c>
      <c r="O19" s="89"/>
      <c r="P19" s="89">
        <v>2000</v>
      </c>
      <c r="Q19" s="294" t="s">
        <v>392</v>
      </c>
      <c r="R19" s="296" t="s">
        <v>834</v>
      </c>
      <c r="S19" s="305" t="s">
        <v>835</v>
      </c>
    </row>
    <row r="20" spans="4:19" ht="15" customHeight="1" x14ac:dyDescent="0.25">
      <c r="D20" s="199"/>
      <c r="E20" s="32" t="s">
        <v>405</v>
      </c>
      <c r="F20" s="32" t="s">
        <v>399</v>
      </c>
      <c r="G20" s="274"/>
      <c r="H20" s="199"/>
      <c r="I20" s="272"/>
      <c r="J20" s="183"/>
      <c r="N20" s="304"/>
      <c r="O20" s="89"/>
      <c r="P20" s="89" t="s">
        <v>833</v>
      </c>
      <c r="Q20" s="300"/>
      <c r="R20" s="304"/>
      <c r="S20" s="306"/>
    </row>
    <row r="21" spans="4:19" ht="18.75" customHeight="1" x14ac:dyDescent="0.25">
      <c r="D21" s="198" t="s">
        <v>398</v>
      </c>
      <c r="E21" s="32">
        <v>250</v>
      </c>
      <c r="F21" s="28">
        <v>2500</v>
      </c>
      <c r="G21" s="274" t="s">
        <v>55</v>
      </c>
      <c r="H21" s="198" t="s">
        <v>393</v>
      </c>
      <c r="I21" s="271">
        <v>551149295</v>
      </c>
      <c r="J21" s="182"/>
      <c r="N21" s="296" t="s">
        <v>287</v>
      </c>
      <c r="O21" s="89">
        <v>250</v>
      </c>
      <c r="P21" s="89">
        <v>2000</v>
      </c>
      <c r="Q21" s="294" t="s">
        <v>883</v>
      </c>
      <c r="R21" s="296" t="s">
        <v>834</v>
      </c>
      <c r="S21" s="305"/>
    </row>
    <row r="22" spans="4:19" ht="15" customHeight="1" x14ac:dyDescent="0.25">
      <c r="D22" s="199"/>
      <c r="E22" s="32" t="s">
        <v>405</v>
      </c>
      <c r="F22" s="32" t="s">
        <v>399</v>
      </c>
      <c r="G22" s="274"/>
      <c r="H22" s="199"/>
      <c r="I22" s="272"/>
      <c r="J22" s="183"/>
      <c r="N22" s="304"/>
      <c r="O22" s="89" t="s">
        <v>884</v>
      </c>
      <c r="P22" s="89" t="s">
        <v>884</v>
      </c>
      <c r="Q22" s="300"/>
      <c r="R22" s="304"/>
      <c r="S22" s="306"/>
    </row>
    <row r="23" spans="4:19" ht="18.75" customHeight="1" x14ac:dyDescent="0.25">
      <c r="D23" s="198" t="s">
        <v>401</v>
      </c>
      <c r="E23" s="32">
        <v>250</v>
      </c>
      <c r="F23" s="28"/>
      <c r="G23" s="274" t="s">
        <v>402</v>
      </c>
      <c r="H23" s="198" t="s">
        <v>395</v>
      </c>
      <c r="I23" s="271">
        <v>782863088</v>
      </c>
      <c r="J23" s="182"/>
      <c r="N23" s="296" t="s">
        <v>941</v>
      </c>
      <c r="O23" s="89">
        <v>250</v>
      </c>
      <c r="P23" s="89">
        <v>3000</v>
      </c>
      <c r="Q23" s="310" t="s">
        <v>942</v>
      </c>
      <c r="R23" s="296" t="s">
        <v>943</v>
      </c>
      <c r="S23" s="305" t="s">
        <v>944</v>
      </c>
    </row>
    <row r="24" spans="4:19" ht="15" customHeight="1" x14ac:dyDescent="0.25">
      <c r="D24" s="199"/>
      <c r="E24" s="32" t="s">
        <v>404</v>
      </c>
      <c r="F24" s="33"/>
      <c r="G24" s="274"/>
      <c r="H24" s="199"/>
      <c r="I24" s="272"/>
      <c r="J24" s="183"/>
      <c r="N24" s="304"/>
      <c r="O24" s="89" t="s">
        <v>947</v>
      </c>
      <c r="P24" s="89" t="s">
        <v>947</v>
      </c>
      <c r="Q24" s="311"/>
      <c r="R24" s="304"/>
      <c r="S24" s="306"/>
    </row>
    <row r="25" spans="4:19" ht="18.75" customHeight="1" x14ac:dyDescent="0.25">
      <c r="D25" s="198" t="s">
        <v>252</v>
      </c>
      <c r="E25" s="32">
        <v>250</v>
      </c>
      <c r="F25" s="28">
        <v>3000</v>
      </c>
      <c r="G25" s="274" t="s">
        <v>407</v>
      </c>
      <c r="H25" s="198" t="s">
        <v>406</v>
      </c>
      <c r="I25" s="271">
        <v>656294981</v>
      </c>
      <c r="J25" s="182"/>
      <c r="N25" s="307" t="s">
        <v>917</v>
      </c>
      <c r="O25" s="89">
        <v>250</v>
      </c>
      <c r="P25" s="89">
        <v>2000</v>
      </c>
      <c r="Q25" s="294" t="s">
        <v>392</v>
      </c>
      <c r="R25" s="296" t="s">
        <v>834</v>
      </c>
      <c r="S25" s="309" t="s">
        <v>948</v>
      </c>
    </row>
    <row r="26" spans="4:19" ht="15" customHeight="1" x14ac:dyDescent="0.25">
      <c r="D26" s="199"/>
      <c r="E26" s="32" t="s">
        <v>403</v>
      </c>
      <c r="F26" s="32" t="s">
        <v>403</v>
      </c>
      <c r="G26" s="274"/>
      <c r="H26" s="199"/>
      <c r="I26" s="272"/>
      <c r="J26" s="183"/>
      <c r="N26" s="308"/>
      <c r="O26" s="89" t="s">
        <v>931</v>
      </c>
      <c r="P26" s="89" t="s">
        <v>931</v>
      </c>
      <c r="Q26" s="300"/>
      <c r="R26" s="304"/>
      <c r="S26" s="306"/>
    </row>
    <row r="27" spans="4:19" ht="18.75" customHeight="1" x14ac:dyDescent="0.25">
      <c r="D27" s="198" t="s">
        <v>408</v>
      </c>
      <c r="E27" s="32">
        <v>250</v>
      </c>
      <c r="F27" s="28">
        <v>3000</v>
      </c>
      <c r="G27" s="274" t="s">
        <v>366</v>
      </c>
      <c r="H27" s="198" t="s">
        <v>410</v>
      </c>
      <c r="I27" s="271"/>
      <c r="J27" s="182"/>
      <c r="N27" s="296" t="s">
        <v>954</v>
      </c>
      <c r="O27" s="89">
        <v>250</v>
      </c>
      <c r="P27" s="89">
        <v>2000</v>
      </c>
      <c r="Q27" s="294" t="s">
        <v>955</v>
      </c>
      <c r="R27" s="296" t="s">
        <v>834</v>
      </c>
      <c r="S27" s="305" t="s">
        <v>956</v>
      </c>
    </row>
    <row r="28" spans="4:19" ht="15" customHeight="1" x14ac:dyDescent="0.25">
      <c r="D28" s="199"/>
      <c r="E28" s="32" t="s">
        <v>409</v>
      </c>
      <c r="F28" s="32" t="s">
        <v>409</v>
      </c>
      <c r="G28" s="274"/>
      <c r="H28" s="199"/>
      <c r="I28" s="272"/>
      <c r="J28" s="183"/>
      <c r="N28" s="304"/>
      <c r="O28" s="89" t="s">
        <v>950</v>
      </c>
      <c r="P28" s="89" t="s">
        <v>950</v>
      </c>
      <c r="Q28" s="300"/>
      <c r="R28" s="304"/>
      <c r="S28" s="306"/>
    </row>
    <row r="29" spans="4:19" ht="18.75" customHeight="1" x14ac:dyDescent="0.25">
      <c r="D29" s="287" t="s">
        <v>411</v>
      </c>
      <c r="E29" s="32">
        <v>250</v>
      </c>
      <c r="F29" s="28">
        <v>3000</v>
      </c>
      <c r="G29" s="274" t="s">
        <v>366</v>
      </c>
      <c r="H29" s="198" t="s">
        <v>410</v>
      </c>
      <c r="I29" s="271"/>
      <c r="J29" s="182"/>
      <c r="N29" s="296"/>
      <c r="O29" s="89"/>
      <c r="P29" s="89"/>
      <c r="Q29" s="294"/>
      <c r="R29" s="296"/>
      <c r="S29" s="305"/>
    </row>
    <row r="30" spans="4:19" ht="15" customHeight="1" x14ac:dyDescent="0.25">
      <c r="D30" s="287"/>
      <c r="E30" s="32" t="s">
        <v>412</v>
      </c>
      <c r="F30" s="32" t="s">
        <v>412</v>
      </c>
      <c r="G30" s="274"/>
      <c r="H30" s="199"/>
      <c r="I30" s="272"/>
      <c r="J30" s="183"/>
      <c r="N30" s="304"/>
      <c r="O30" s="89"/>
      <c r="P30" s="89"/>
      <c r="Q30" s="300"/>
      <c r="R30" s="304"/>
      <c r="S30" s="306"/>
    </row>
    <row r="31" spans="4:19" ht="18.75" customHeight="1" x14ac:dyDescent="0.25">
      <c r="D31" s="198" t="s">
        <v>413</v>
      </c>
      <c r="E31" s="32">
        <v>250</v>
      </c>
      <c r="F31" s="28">
        <v>3000</v>
      </c>
      <c r="G31" s="274" t="s">
        <v>366</v>
      </c>
      <c r="H31" s="198" t="s">
        <v>410</v>
      </c>
      <c r="I31" s="271"/>
      <c r="J31" s="182"/>
      <c r="N31" s="296"/>
      <c r="O31" s="89"/>
      <c r="P31" s="89"/>
      <c r="Q31" s="294"/>
      <c r="R31" s="296"/>
      <c r="S31" s="305"/>
    </row>
    <row r="32" spans="4:19" ht="15" customHeight="1" x14ac:dyDescent="0.25">
      <c r="D32" s="199"/>
      <c r="E32" s="32" t="s">
        <v>414</v>
      </c>
      <c r="F32" s="32" t="s">
        <v>414</v>
      </c>
      <c r="G32" s="274"/>
      <c r="H32" s="199"/>
      <c r="I32" s="272"/>
      <c r="J32" s="183"/>
      <c r="N32" s="304"/>
      <c r="O32" s="89"/>
      <c r="P32" s="89"/>
      <c r="Q32" s="300"/>
      <c r="R32" s="304"/>
      <c r="S32" s="306"/>
    </row>
    <row r="33" spans="4:19" ht="18.75" customHeight="1" x14ac:dyDescent="0.25">
      <c r="D33" s="287" t="s">
        <v>415</v>
      </c>
      <c r="E33" s="32"/>
      <c r="F33" s="28">
        <v>3000</v>
      </c>
      <c r="G33" s="274" t="s">
        <v>366</v>
      </c>
      <c r="H33" s="198" t="s">
        <v>410</v>
      </c>
      <c r="I33" s="271"/>
      <c r="J33" s="182"/>
      <c r="N33" s="296"/>
      <c r="O33" s="89"/>
      <c r="P33" s="89"/>
      <c r="Q33" s="294"/>
      <c r="R33" s="296"/>
      <c r="S33" s="305"/>
    </row>
    <row r="34" spans="4:19" ht="15" customHeight="1" x14ac:dyDescent="0.25">
      <c r="D34" s="287"/>
      <c r="E34" s="32"/>
      <c r="F34" s="32" t="s">
        <v>416</v>
      </c>
      <c r="G34" s="274"/>
      <c r="H34" s="199"/>
      <c r="I34" s="272"/>
      <c r="J34" s="183"/>
      <c r="N34" s="304"/>
      <c r="O34" s="89"/>
      <c r="P34" s="89"/>
      <c r="Q34" s="300"/>
      <c r="R34" s="304"/>
      <c r="S34" s="306"/>
    </row>
    <row r="35" spans="4:19" ht="18.75" customHeight="1" x14ac:dyDescent="0.25">
      <c r="D35" s="198" t="s">
        <v>417</v>
      </c>
      <c r="E35" s="32"/>
      <c r="F35" s="28">
        <v>1000</v>
      </c>
      <c r="G35" s="274" t="s">
        <v>392</v>
      </c>
      <c r="H35" s="198" t="s">
        <v>419</v>
      </c>
      <c r="I35" s="271"/>
      <c r="J35" s="182"/>
      <c r="N35" s="296"/>
      <c r="O35" s="89"/>
      <c r="P35" s="89"/>
      <c r="Q35" s="294"/>
      <c r="R35" s="296"/>
      <c r="S35" s="305"/>
    </row>
    <row r="36" spans="4:19" ht="15" customHeight="1" x14ac:dyDescent="0.25">
      <c r="D36" s="199"/>
      <c r="E36" s="32"/>
      <c r="F36" s="32" t="s">
        <v>418</v>
      </c>
      <c r="G36" s="274"/>
      <c r="H36" s="199"/>
      <c r="I36" s="272"/>
      <c r="J36" s="183"/>
      <c r="N36" s="304"/>
      <c r="O36" s="89"/>
      <c r="P36" s="89"/>
      <c r="Q36" s="300"/>
      <c r="R36" s="304"/>
      <c r="S36" s="306"/>
    </row>
    <row r="37" spans="4:19" ht="18.75" customHeight="1" x14ac:dyDescent="0.25">
      <c r="D37" s="287" t="s">
        <v>420</v>
      </c>
      <c r="E37" s="32">
        <v>250</v>
      </c>
      <c r="F37" s="28">
        <v>2000</v>
      </c>
      <c r="G37" s="274" t="s">
        <v>392</v>
      </c>
      <c r="H37" s="198" t="s">
        <v>419</v>
      </c>
      <c r="I37" s="271" t="s">
        <v>422</v>
      </c>
      <c r="J37" s="182"/>
      <c r="N37" s="296"/>
      <c r="O37" s="89"/>
      <c r="P37" s="89"/>
      <c r="Q37" s="294"/>
      <c r="R37" s="296"/>
      <c r="S37" s="305"/>
    </row>
    <row r="38" spans="4:19" ht="15" customHeight="1" x14ac:dyDescent="0.25">
      <c r="D38" s="287"/>
      <c r="E38" s="32" t="s">
        <v>421</v>
      </c>
      <c r="F38" s="32" t="s">
        <v>421</v>
      </c>
      <c r="G38" s="274"/>
      <c r="H38" s="199"/>
      <c r="I38" s="272"/>
      <c r="J38" s="183"/>
      <c r="N38" s="304"/>
      <c r="O38" s="89"/>
      <c r="P38" s="89"/>
      <c r="Q38" s="300"/>
      <c r="R38" s="304"/>
      <c r="S38" s="306"/>
    </row>
    <row r="39" spans="4:19" ht="18.75" customHeight="1" x14ac:dyDescent="0.25">
      <c r="D39" s="198" t="s">
        <v>423</v>
      </c>
      <c r="E39" s="32">
        <v>250</v>
      </c>
      <c r="F39" s="28">
        <v>3000</v>
      </c>
      <c r="G39" s="274" t="s">
        <v>425</v>
      </c>
      <c r="H39" s="198" t="s">
        <v>426</v>
      </c>
      <c r="I39" s="271" t="s">
        <v>427</v>
      </c>
      <c r="J39" s="182"/>
      <c r="N39" s="296"/>
      <c r="O39" s="89"/>
      <c r="P39" s="89"/>
      <c r="Q39" s="294"/>
      <c r="R39" s="296"/>
      <c r="S39" s="305"/>
    </row>
    <row r="40" spans="4:19" ht="15" customHeight="1" x14ac:dyDescent="0.25">
      <c r="D40" s="199"/>
      <c r="E40" s="32" t="s">
        <v>424</v>
      </c>
      <c r="F40" s="32" t="s">
        <v>424</v>
      </c>
      <c r="G40" s="274"/>
      <c r="H40" s="199"/>
      <c r="I40" s="272"/>
      <c r="J40" s="183"/>
      <c r="N40" s="304"/>
      <c r="O40" s="89"/>
      <c r="P40" s="89"/>
      <c r="Q40" s="300"/>
      <c r="R40" s="304"/>
      <c r="S40" s="306"/>
    </row>
    <row r="41" spans="4:19" ht="18.75" customHeight="1" x14ac:dyDescent="0.25">
      <c r="D41" s="287" t="s">
        <v>428</v>
      </c>
      <c r="E41" s="32">
        <v>250</v>
      </c>
      <c r="F41" s="28">
        <v>2000</v>
      </c>
      <c r="G41" s="274" t="s">
        <v>392</v>
      </c>
      <c r="H41" s="198" t="s">
        <v>419</v>
      </c>
      <c r="I41" s="271"/>
      <c r="J41" s="182"/>
      <c r="N41" s="296"/>
      <c r="O41" s="89"/>
      <c r="P41" s="89"/>
      <c r="Q41" s="294"/>
      <c r="R41" s="296"/>
      <c r="S41" s="305"/>
    </row>
    <row r="42" spans="4:19" ht="15" customHeight="1" x14ac:dyDescent="0.25">
      <c r="D42" s="287"/>
      <c r="E42" s="32" t="s">
        <v>429</v>
      </c>
      <c r="F42" s="32" t="s">
        <v>429</v>
      </c>
      <c r="G42" s="274"/>
      <c r="H42" s="199"/>
      <c r="I42" s="272"/>
      <c r="J42" s="183"/>
      <c r="N42" s="304"/>
      <c r="O42" s="89"/>
      <c r="P42" s="89"/>
      <c r="Q42" s="300"/>
      <c r="R42" s="304"/>
      <c r="S42" s="306"/>
    </row>
    <row r="43" spans="4:19" ht="18.75" customHeight="1" x14ac:dyDescent="0.25">
      <c r="D43" s="287" t="s">
        <v>430</v>
      </c>
      <c r="E43" s="32">
        <v>250</v>
      </c>
      <c r="F43" s="28">
        <v>3000</v>
      </c>
      <c r="G43" s="274" t="s">
        <v>366</v>
      </c>
      <c r="H43" s="198" t="s">
        <v>432</v>
      </c>
      <c r="I43" s="271"/>
      <c r="J43" s="182"/>
      <c r="N43" s="296"/>
      <c r="O43" s="89"/>
      <c r="P43" s="89"/>
      <c r="Q43" s="294"/>
      <c r="R43" s="296"/>
      <c r="S43" s="305"/>
    </row>
    <row r="44" spans="4:19" ht="15" customHeight="1" x14ac:dyDescent="0.25">
      <c r="D44" s="287"/>
      <c r="E44" s="32" t="s">
        <v>431</v>
      </c>
      <c r="F44" s="32" t="s">
        <v>431</v>
      </c>
      <c r="G44" s="274"/>
      <c r="H44" s="199"/>
      <c r="I44" s="272"/>
      <c r="J44" s="183"/>
      <c r="N44" s="304"/>
      <c r="O44" s="89"/>
      <c r="P44" s="89"/>
      <c r="Q44" s="300"/>
      <c r="R44" s="304"/>
      <c r="S44" s="306"/>
    </row>
    <row r="45" spans="4:19" ht="18.75" customHeight="1" x14ac:dyDescent="0.25">
      <c r="D45" s="198" t="s">
        <v>433</v>
      </c>
      <c r="E45" s="32">
        <v>250</v>
      </c>
      <c r="F45" s="28">
        <v>2000</v>
      </c>
      <c r="G45" s="274" t="s">
        <v>392</v>
      </c>
      <c r="H45" s="198" t="s">
        <v>419</v>
      </c>
      <c r="I45" s="271"/>
      <c r="J45" s="182"/>
      <c r="N45" s="296"/>
      <c r="O45" s="89"/>
      <c r="P45" s="89"/>
      <c r="Q45" s="294"/>
      <c r="R45" s="296"/>
      <c r="S45" s="305"/>
    </row>
    <row r="46" spans="4:19" ht="15" customHeight="1" x14ac:dyDescent="0.25">
      <c r="D46" s="199"/>
      <c r="E46" s="32" t="s">
        <v>434</v>
      </c>
      <c r="F46" s="32" t="s">
        <v>434</v>
      </c>
      <c r="G46" s="274"/>
      <c r="H46" s="199"/>
      <c r="I46" s="272"/>
      <c r="J46" s="183"/>
      <c r="N46" s="304"/>
      <c r="O46" s="89"/>
      <c r="P46" s="89"/>
      <c r="Q46" s="300"/>
      <c r="R46" s="304"/>
      <c r="S46" s="306"/>
    </row>
    <row r="47" spans="4:19" ht="18.75" customHeight="1" x14ac:dyDescent="0.25">
      <c r="D47" s="287" t="s">
        <v>435</v>
      </c>
      <c r="E47" s="32">
        <v>250</v>
      </c>
      <c r="F47" s="28"/>
      <c r="G47" s="274" t="s">
        <v>392</v>
      </c>
      <c r="H47" s="198" t="s">
        <v>419</v>
      </c>
      <c r="I47" s="271"/>
      <c r="J47" s="182"/>
      <c r="N47" s="296"/>
      <c r="O47" s="89"/>
      <c r="P47" s="89"/>
      <c r="Q47" s="294"/>
      <c r="R47" s="296"/>
      <c r="S47" s="305"/>
    </row>
    <row r="48" spans="4:19" ht="15" customHeight="1" x14ac:dyDescent="0.25">
      <c r="D48" s="287"/>
      <c r="E48" s="32" t="s">
        <v>436</v>
      </c>
      <c r="F48" s="33"/>
      <c r="G48" s="274"/>
      <c r="H48" s="199"/>
      <c r="I48" s="272"/>
      <c r="J48" s="183"/>
      <c r="N48" s="304"/>
      <c r="O48" s="89"/>
      <c r="P48" s="89"/>
      <c r="Q48" s="300"/>
      <c r="R48" s="304"/>
      <c r="S48" s="306"/>
    </row>
    <row r="49" spans="4:19" ht="18.75" customHeight="1" x14ac:dyDescent="0.25">
      <c r="D49" s="198" t="s">
        <v>437</v>
      </c>
      <c r="E49" s="32">
        <v>250</v>
      </c>
      <c r="F49" s="28">
        <v>3000</v>
      </c>
      <c r="G49" s="274" t="s">
        <v>366</v>
      </c>
      <c r="H49" s="198" t="s">
        <v>426</v>
      </c>
      <c r="I49" s="271"/>
      <c r="J49" s="182"/>
      <c r="N49" s="296"/>
      <c r="O49" s="89"/>
      <c r="P49" s="89"/>
      <c r="Q49" s="294"/>
      <c r="R49" s="296"/>
      <c r="S49" s="305"/>
    </row>
    <row r="50" spans="4:19" ht="15" customHeight="1" x14ac:dyDescent="0.25">
      <c r="D50" s="199"/>
      <c r="E50" s="32" t="s">
        <v>438</v>
      </c>
      <c r="F50" s="32" t="s">
        <v>438</v>
      </c>
      <c r="G50" s="274"/>
      <c r="H50" s="199"/>
      <c r="I50" s="272"/>
      <c r="J50" s="183"/>
      <c r="N50" s="304"/>
      <c r="O50" s="89"/>
      <c r="P50" s="89"/>
      <c r="Q50" s="300"/>
      <c r="R50" s="304"/>
      <c r="S50" s="306"/>
    </row>
    <row r="51" spans="4:19" ht="18.75" customHeight="1" x14ac:dyDescent="0.25">
      <c r="D51" s="198" t="s">
        <v>437</v>
      </c>
      <c r="E51" s="32">
        <v>250</v>
      </c>
      <c r="F51" s="28">
        <v>2500</v>
      </c>
      <c r="G51" s="274" t="s">
        <v>366</v>
      </c>
      <c r="H51" s="198" t="s">
        <v>393</v>
      </c>
      <c r="I51" s="271"/>
      <c r="J51" s="182"/>
      <c r="N51" s="296"/>
      <c r="O51" s="89"/>
      <c r="P51" s="89"/>
      <c r="Q51" s="294"/>
      <c r="R51" s="296"/>
      <c r="S51" s="305"/>
    </row>
    <row r="52" spans="4:19" ht="15" customHeight="1" x14ac:dyDescent="0.25">
      <c r="D52" s="199"/>
      <c r="E52" s="32" t="s">
        <v>440</v>
      </c>
      <c r="F52" s="32" t="s">
        <v>440</v>
      </c>
      <c r="G52" s="274"/>
      <c r="H52" s="199"/>
      <c r="I52" s="272"/>
      <c r="J52" s="183"/>
      <c r="N52" s="304"/>
      <c r="O52" s="89"/>
      <c r="P52" s="89"/>
      <c r="Q52" s="300"/>
      <c r="R52" s="304"/>
      <c r="S52" s="306"/>
    </row>
    <row r="53" spans="4:19" ht="18.75" customHeight="1" x14ac:dyDescent="0.25">
      <c r="D53" s="198" t="s">
        <v>439</v>
      </c>
      <c r="E53" s="32">
        <v>250</v>
      </c>
      <c r="F53" s="28"/>
      <c r="G53" s="274" t="s">
        <v>366</v>
      </c>
      <c r="H53" s="198" t="s">
        <v>410</v>
      </c>
      <c r="I53" s="271"/>
      <c r="J53" s="182"/>
      <c r="N53" s="296"/>
      <c r="O53" s="89"/>
      <c r="P53" s="89"/>
      <c r="Q53" s="294"/>
      <c r="R53" s="296"/>
      <c r="S53" s="305"/>
    </row>
    <row r="54" spans="4:19" ht="15" customHeight="1" x14ac:dyDescent="0.25">
      <c r="D54" s="199"/>
      <c r="E54" s="32" t="s">
        <v>441</v>
      </c>
      <c r="F54" s="33"/>
      <c r="G54" s="274"/>
      <c r="H54" s="199"/>
      <c r="I54" s="272"/>
      <c r="J54" s="183"/>
      <c r="N54" s="304"/>
      <c r="O54" s="89"/>
      <c r="P54" s="89"/>
      <c r="Q54" s="300"/>
      <c r="R54" s="304"/>
      <c r="S54" s="306"/>
    </row>
    <row r="55" spans="4:19" ht="18.75" customHeight="1" x14ac:dyDescent="0.25">
      <c r="D55" s="287" t="s">
        <v>442</v>
      </c>
      <c r="E55" s="32">
        <v>250</v>
      </c>
      <c r="F55" s="28">
        <v>3000</v>
      </c>
      <c r="G55" s="274" t="s">
        <v>366</v>
      </c>
      <c r="H55" s="198" t="s">
        <v>426</v>
      </c>
      <c r="I55" s="271"/>
      <c r="J55" s="182"/>
      <c r="N55" s="296"/>
      <c r="O55" s="89"/>
      <c r="P55" s="89"/>
      <c r="Q55" s="294"/>
      <c r="R55" s="296"/>
      <c r="S55" s="305"/>
    </row>
    <row r="56" spans="4:19" ht="15" customHeight="1" x14ac:dyDescent="0.25">
      <c r="D56" s="287"/>
      <c r="E56" s="32" t="s">
        <v>443</v>
      </c>
      <c r="F56" s="32" t="s">
        <v>443</v>
      </c>
      <c r="G56" s="274"/>
      <c r="H56" s="199"/>
      <c r="I56" s="272"/>
      <c r="J56" s="183"/>
      <c r="N56" s="304"/>
      <c r="O56" s="89"/>
      <c r="P56" s="89"/>
      <c r="Q56" s="300"/>
      <c r="R56" s="304"/>
      <c r="S56" s="306"/>
    </row>
    <row r="57" spans="4:19" ht="18.75" customHeight="1" x14ac:dyDescent="0.25">
      <c r="D57" s="198" t="s">
        <v>521</v>
      </c>
      <c r="E57" s="32">
        <v>250</v>
      </c>
      <c r="F57" s="28"/>
      <c r="G57" s="274" t="s">
        <v>402</v>
      </c>
      <c r="H57" s="198" t="s">
        <v>419</v>
      </c>
      <c r="I57" s="271"/>
      <c r="J57" s="182"/>
      <c r="N57" s="296"/>
      <c r="O57" s="89"/>
      <c r="P57" s="89"/>
      <c r="Q57" s="294"/>
      <c r="R57" s="296"/>
      <c r="S57" s="305"/>
    </row>
    <row r="58" spans="4:19" ht="15" customHeight="1" x14ac:dyDescent="0.25">
      <c r="D58" s="199"/>
      <c r="E58" s="32" t="s">
        <v>522</v>
      </c>
      <c r="F58" s="33"/>
      <c r="G58" s="274"/>
      <c r="H58" s="199"/>
      <c r="I58" s="272"/>
      <c r="J58" s="183"/>
      <c r="N58" s="304"/>
      <c r="O58" s="89"/>
      <c r="P58" s="89"/>
      <c r="Q58" s="300"/>
      <c r="R58" s="304"/>
      <c r="S58" s="306"/>
    </row>
    <row r="59" spans="4:19" ht="18.75" customHeight="1" x14ac:dyDescent="0.25">
      <c r="D59" s="287" t="s">
        <v>523</v>
      </c>
      <c r="E59" s="32">
        <v>250</v>
      </c>
      <c r="F59" s="28">
        <v>3000</v>
      </c>
      <c r="G59" s="274" t="s">
        <v>366</v>
      </c>
      <c r="H59" s="198" t="s">
        <v>426</v>
      </c>
      <c r="I59" s="271"/>
      <c r="J59" s="182"/>
      <c r="N59" s="296"/>
      <c r="O59" s="89"/>
      <c r="P59" s="89"/>
      <c r="Q59" s="294"/>
      <c r="R59" s="296"/>
      <c r="S59" s="305"/>
    </row>
    <row r="60" spans="4:19" ht="15" customHeight="1" x14ac:dyDescent="0.25">
      <c r="D60" s="287"/>
      <c r="E60" s="32" t="s">
        <v>524</v>
      </c>
      <c r="F60" s="32" t="s">
        <v>524</v>
      </c>
      <c r="G60" s="274"/>
      <c r="H60" s="199"/>
      <c r="I60" s="272"/>
      <c r="J60" s="183"/>
      <c r="N60" s="304"/>
      <c r="O60" s="89"/>
      <c r="P60" s="89"/>
      <c r="Q60" s="300"/>
      <c r="R60" s="304"/>
      <c r="S60" s="306"/>
    </row>
    <row r="61" spans="4:19" ht="18.75" customHeight="1" x14ac:dyDescent="0.25">
      <c r="D61" s="198" t="s">
        <v>525</v>
      </c>
      <c r="E61" s="32">
        <v>250</v>
      </c>
      <c r="F61" s="28"/>
      <c r="G61" s="274" t="s">
        <v>366</v>
      </c>
      <c r="H61" s="198" t="s">
        <v>527</v>
      </c>
      <c r="I61" s="271"/>
      <c r="J61" s="182"/>
      <c r="N61" s="296"/>
      <c r="O61" s="89"/>
      <c r="P61" s="89"/>
      <c r="Q61" s="294"/>
      <c r="R61" s="296"/>
      <c r="S61" s="305"/>
    </row>
    <row r="62" spans="4:19" ht="15" customHeight="1" x14ac:dyDescent="0.25">
      <c r="D62" s="199"/>
      <c r="E62" s="32" t="s">
        <v>526</v>
      </c>
      <c r="F62" s="33"/>
      <c r="G62" s="274"/>
      <c r="H62" s="199"/>
      <c r="I62" s="272"/>
      <c r="J62" s="183"/>
      <c r="N62" s="304"/>
      <c r="O62" s="89"/>
      <c r="P62" s="89"/>
      <c r="Q62" s="300"/>
      <c r="R62" s="304"/>
      <c r="S62" s="306"/>
    </row>
    <row r="63" spans="4:19" ht="15" customHeight="1" x14ac:dyDescent="0.25">
      <c r="D63" s="287" t="s">
        <v>528</v>
      </c>
      <c r="E63" s="32"/>
      <c r="F63" s="32">
        <v>3000</v>
      </c>
      <c r="G63" s="274" t="s">
        <v>366</v>
      </c>
      <c r="H63" s="198" t="s">
        <v>410</v>
      </c>
      <c r="I63" s="271" t="s">
        <v>530</v>
      </c>
      <c r="J63" s="182"/>
      <c r="N63" s="296"/>
      <c r="O63" s="89"/>
      <c r="P63" s="89"/>
      <c r="Q63" s="294"/>
      <c r="R63" s="296"/>
      <c r="S63" s="305"/>
    </row>
    <row r="64" spans="4:19" ht="15" customHeight="1" x14ac:dyDescent="0.25">
      <c r="D64" s="287"/>
      <c r="E64" s="32"/>
      <c r="F64" s="32" t="s">
        <v>529</v>
      </c>
      <c r="G64" s="274"/>
      <c r="H64" s="199"/>
      <c r="I64" s="272"/>
      <c r="J64" s="183"/>
      <c r="N64" s="304"/>
      <c r="O64" s="89"/>
      <c r="P64" s="89"/>
      <c r="Q64" s="300"/>
      <c r="R64" s="304"/>
      <c r="S64" s="306"/>
    </row>
    <row r="65" spans="4:19" ht="18.75" customHeight="1" x14ac:dyDescent="0.25">
      <c r="D65" s="198" t="s">
        <v>531</v>
      </c>
      <c r="E65" s="32">
        <v>250</v>
      </c>
      <c r="F65" s="28">
        <v>3000</v>
      </c>
      <c r="G65" s="274" t="s">
        <v>366</v>
      </c>
      <c r="H65" s="198" t="s">
        <v>527</v>
      </c>
      <c r="I65" s="271"/>
      <c r="J65" s="182"/>
      <c r="N65" s="296"/>
      <c r="O65" s="89"/>
      <c r="P65" s="89"/>
      <c r="Q65" s="294"/>
      <c r="R65" s="296"/>
      <c r="S65" s="305"/>
    </row>
    <row r="66" spans="4:19" ht="15" customHeight="1" x14ac:dyDescent="0.25">
      <c r="D66" s="199"/>
      <c r="E66" s="32" t="s">
        <v>532</v>
      </c>
      <c r="F66" s="32" t="s">
        <v>532</v>
      </c>
      <c r="G66" s="274"/>
      <c r="H66" s="199"/>
      <c r="I66" s="272"/>
      <c r="J66" s="183"/>
      <c r="N66" s="304"/>
      <c r="O66" s="89"/>
      <c r="P66" s="89"/>
      <c r="Q66" s="300"/>
      <c r="R66" s="304"/>
      <c r="S66" s="306"/>
    </row>
    <row r="67" spans="4:19" ht="18.75" customHeight="1" x14ac:dyDescent="0.25">
      <c r="D67" s="198" t="s">
        <v>531</v>
      </c>
      <c r="E67" s="32">
        <v>250</v>
      </c>
      <c r="F67" s="28">
        <v>2500</v>
      </c>
      <c r="G67" s="274" t="s">
        <v>366</v>
      </c>
      <c r="H67" s="198" t="s">
        <v>393</v>
      </c>
      <c r="I67" s="271"/>
      <c r="J67" s="182"/>
      <c r="N67" s="296"/>
      <c r="O67" s="89"/>
      <c r="P67" s="89"/>
      <c r="Q67" s="294"/>
      <c r="R67" s="296"/>
      <c r="S67" s="305"/>
    </row>
    <row r="68" spans="4:19" ht="15" customHeight="1" x14ac:dyDescent="0.25">
      <c r="D68" s="199"/>
      <c r="E68" s="32" t="s">
        <v>532</v>
      </c>
      <c r="F68" s="32" t="s">
        <v>532</v>
      </c>
      <c r="G68" s="274"/>
      <c r="H68" s="199"/>
      <c r="I68" s="272"/>
      <c r="J68" s="183"/>
      <c r="N68" s="304"/>
      <c r="O68" s="89"/>
      <c r="P68" s="89"/>
      <c r="Q68" s="300"/>
      <c r="R68" s="304"/>
      <c r="S68" s="306"/>
    </row>
    <row r="69" spans="4:19" ht="18.75" customHeight="1" x14ac:dyDescent="0.5">
      <c r="D69" s="198" t="s">
        <v>531</v>
      </c>
      <c r="E69" s="32">
        <v>250</v>
      </c>
      <c r="F69" s="28">
        <v>2500</v>
      </c>
      <c r="G69" s="274" t="s">
        <v>366</v>
      </c>
      <c r="H69" s="198" t="s">
        <v>533</v>
      </c>
      <c r="I69" s="271"/>
      <c r="J69" s="182"/>
      <c r="N69" s="277"/>
      <c r="O69" s="277"/>
      <c r="P69" s="277"/>
      <c r="Q69" s="301"/>
      <c r="R69" s="62"/>
      <c r="S69" s="62"/>
    </row>
    <row r="70" spans="4:19" ht="15" customHeight="1" x14ac:dyDescent="0.5">
      <c r="D70" s="199"/>
      <c r="E70" s="32" t="s">
        <v>532</v>
      </c>
      <c r="F70" s="32" t="s">
        <v>532</v>
      </c>
      <c r="G70" s="274"/>
      <c r="H70" s="199"/>
      <c r="I70" s="272"/>
      <c r="J70" s="183"/>
      <c r="N70" s="278"/>
      <c r="O70" s="278"/>
      <c r="P70" s="278"/>
      <c r="Q70" s="302"/>
      <c r="R70" s="62"/>
      <c r="S70" s="62"/>
    </row>
    <row r="71" spans="4:19" ht="15" customHeight="1" x14ac:dyDescent="0.25">
      <c r="D71" s="298" t="s">
        <v>575</v>
      </c>
      <c r="E71" s="297">
        <v>6750</v>
      </c>
      <c r="F71" s="297">
        <v>61000</v>
      </c>
      <c r="G71" s="297">
        <v>67750</v>
      </c>
    </row>
    <row r="72" spans="4:19" ht="15" customHeight="1" x14ac:dyDescent="0.25">
      <c r="D72" s="298"/>
      <c r="E72" s="297"/>
      <c r="F72" s="297"/>
      <c r="G72" s="297"/>
    </row>
  </sheetData>
  <mergeCells count="280">
    <mergeCell ref="N69:N70"/>
    <mergeCell ref="O69:O70"/>
    <mergeCell ref="P69:P70"/>
    <mergeCell ref="N5:S7"/>
    <mergeCell ref="N63:N64"/>
    <mergeCell ref="R63:R64"/>
    <mergeCell ref="S63:S64"/>
    <mergeCell ref="N65:N66"/>
    <mergeCell ref="R65:R66"/>
    <mergeCell ref="S65:S66"/>
    <mergeCell ref="N67:N68"/>
    <mergeCell ref="R67:R68"/>
    <mergeCell ref="S67:S68"/>
    <mergeCell ref="N57:N58"/>
    <mergeCell ref="R57:R58"/>
    <mergeCell ref="S57:S58"/>
    <mergeCell ref="N59:N60"/>
    <mergeCell ref="R59:R60"/>
    <mergeCell ref="S59:S60"/>
    <mergeCell ref="N61:N62"/>
    <mergeCell ref="R61:R62"/>
    <mergeCell ref="S61:S62"/>
    <mergeCell ref="N51:N52"/>
    <mergeCell ref="R51:R52"/>
    <mergeCell ref="S51:S52"/>
    <mergeCell ref="N53:N54"/>
    <mergeCell ref="R53:R54"/>
    <mergeCell ref="S53:S54"/>
    <mergeCell ref="N55:N56"/>
    <mergeCell ref="R55:R56"/>
    <mergeCell ref="S55:S56"/>
    <mergeCell ref="N45:N46"/>
    <mergeCell ref="R45:R46"/>
    <mergeCell ref="S45:S46"/>
    <mergeCell ref="N47:N48"/>
    <mergeCell ref="R47:R48"/>
    <mergeCell ref="S47:S48"/>
    <mergeCell ref="N49:N50"/>
    <mergeCell ref="R49:R50"/>
    <mergeCell ref="S49:S50"/>
    <mergeCell ref="Q45:Q46"/>
    <mergeCell ref="Q47:Q48"/>
    <mergeCell ref="N39:N40"/>
    <mergeCell ref="R39:R40"/>
    <mergeCell ref="S39:S40"/>
    <mergeCell ref="N41:N42"/>
    <mergeCell ref="R41:R42"/>
    <mergeCell ref="S41:S42"/>
    <mergeCell ref="N43:N44"/>
    <mergeCell ref="R43:R44"/>
    <mergeCell ref="S43:S44"/>
    <mergeCell ref="Q43:Q44"/>
    <mergeCell ref="Q39:Q40"/>
    <mergeCell ref="Q41:Q42"/>
    <mergeCell ref="N33:N34"/>
    <mergeCell ref="R33:R34"/>
    <mergeCell ref="S33:S34"/>
    <mergeCell ref="N35:N36"/>
    <mergeCell ref="R35:R36"/>
    <mergeCell ref="S35:S36"/>
    <mergeCell ref="N37:N38"/>
    <mergeCell ref="R37:R38"/>
    <mergeCell ref="S37:S38"/>
    <mergeCell ref="Q37:Q38"/>
    <mergeCell ref="Q33:Q34"/>
    <mergeCell ref="Q35:Q36"/>
    <mergeCell ref="N27:N28"/>
    <mergeCell ref="R27:R28"/>
    <mergeCell ref="S27:S28"/>
    <mergeCell ref="N29:N30"/>
    <mergeCell ref="R29:R30"/>
    <mergeCell ref="S29:S30"/>
    <mergeCell ref="N31:N32"/>
    <mergeCell ref="R31:R32"/>
    <mergeCell ref="S31:S32"/>
    <mergeCell ref="Q31:Q32"/>
    <mergeCell ref="Q27:Q28"/>
    <mergeCell ref="Q29:Q30"/>
    <mergeCell ref="N21:N22"/>
    <mergeCell ref="R21:R22"/>
    <mergeCell ref="S21:S22"/>
    <mergeCell ref="N23:N24"/>
    <mergeCell ref="R23:R24"/>
    <mergeCell ref="S23:S24"/>
    <mergeCell ref="N25:N26"/>
    <mergeCell ref="R25:R26"/>
    <mergeCell ref="S25:S26"/>
    <mergeCell ref="Q25:Q26"/>
    <mergeCell ref="Q21:Q22"/>
    <mergeCell ref="Q23:Q24"/>
    <mergeCell ref="N15:N16"/>
    <mergeCell ref="R15:R16"/>
    <mergeCell ref="S15:S16"/>
    <mergeCell ref="N17:N18"/>
    <mergeCell ref="R17:R18"/>
    <mergeCell ref="S17:S18"/>
    <mergeCell ref="N19:N20"/>
    <mergeCell ref="R19:R20"/>
    <mergeCell ref="S19:S20"/>
    <mergeCell ref="Q19:Q20"/>
    <mergeCell ref="Q15:Q16"/>
    <mergeCell ref="Q17:Q18"/>
    <mergeCell ref="N9:N10"/>
    <mergeCell ref="Q9:Q10"/>
    <mergeCell ref="R9:R10"/>
    <mergeCell ref="S9:S10"/>
    <mergeCell ref="N11:N12"/>
    <mergeCell ref="R11:R12"/>
    <mergeCell ref="S11:S12"/>
    <mergeCell ref="N13:N14"/>
    <mergeCell ref="R13:R14"/>
    <mergeCell ref="S13:S14"/>
    <mergeCell ref="Q11:Q12"/>
    <mergeCell ref="Q13:Q14"/>
    <mergeCell ref="Q67:Q68"/>
    <mergeCell ref="Q69:Q70"/>
    <mergeCell ref="Q61:Q62"/>
    <mergeCell ref="Q63:Q64"/>
    <mergeCell ref="Q65:Q66"/>
    <mergeCell ref="Q55:Q56"/>
    <mergeCell ref="Q57:Q58"/>
    <mergeCell ref="Q59:Q60"/>
    <mergeCell ref="Q49:Q50"/>
    <mergeCell ref="Q51:Q52"/>
    <mergeCell ref="Q53:Q54"/>
    <mergeCell ref="D67:D68"/>
    <mergeCell ref="G67:G68"/>
    <mergeCell ref="H67:H68"/>
    <mergeCell ref="I67:I68"/>
    <mergeCell ref="J67:J68"/>
    <mergeCell ref="D65:D66"/>
    <mergeCell ref="G65:G66"/>
    <mergeCell ref="H65:H66"/>
    <mergeCell ref="I65:I66"/>
    <mergeCell ref="J65:J66"/>
    <mergeCell ref="D63:D64"/>
    <mergeCell ref="G63:G64"/>
    <mergeCell ref="H63:H64"/>
    <mergeCell ref="I63:I64"/>
    <mergeCell ref="J63:J64"/>
    <mergeCell ref="D61:D62"/>
    <mergeCell ref="G61:G62"/>
    <mergeCell ref="H61:H62"/>
    <mergeCell ref="I61:I62"/>
    <mergeCell ref="J61:J62"/>
    <mergeCell ref="D59:D60"/>
    <mergeCell ref="G59:G60"/>
    <mergeCell ref="H59:H60"/>
    <mergeCell ref="I59:I60"/>
    <mergeCell ref="J59:J60"/>
    <mergeCell ref="D57:D58"/>
    <mergeCell ref="G57:G58"/>
    <mergeCell ref="H57:H58"/>
    <mergeCell ref="I57:I58"/>
    <mergeCell ref="J57:J58"/>
    <mergeCell ref="D55:D56"/>
    <mergeCell ref="G55:G56"/>
    <mergeCell ref="H55:H56"/>
    <mergeCell ref="I55:I56"/>
    <mergeCell ref="J55:J56"/>
    <mergeCell ref="D53:D54"/>
    <mergeCell ref="G53:G54"/>
    <mergeCell ref="H53:H54"/>
    <mergeCell ref="I53:I54"/>
    <mergeCell ref="J53:J54"/>
    <mergeCell ref="D51:D52"/>
    <mergeCell ref="G51:G52"/>
    <mergeCell ref="H51:H52"/>
    <mergeCell ref="I51:I52"/>
    <mergeCell ref="J51:J52"/>
    <mergeCell ref="D49:D50"/>
    <mergeCell ref="G49:G50"/>
    <mergeCell ref="H49:H50"/>
    <mergeCell ref="I49:I50"/>
    <mergeCell ref="J49:J50"/>
    <mergeCell ref="D47:D48"/>
    <mergeCell ref="G47:G48"/>
    <mergeCell ref="H47:H48"/>
    <mergeCell ref="I47:I48"/>
    <mergeCell ref="J47:J48"/>
    <mergeCell ref="D45:D46"/>
    <mergeCell ref="G45:G46"/>
    <mergeCell ref="H45:H46"/>
    <mergeCell ref="I45:I46"/>
    <mergeCell ref="J45:J46"/>
    <mergeCell ref="D43:D44"/>
    <mergeCell ref="G43:G44"/>
    <mergeCell ref="H43:H44"/>
    <mergeCell ref="I43:I44"/>
    <mergeCell ref="J43:J44"/>
    <mergeCell ref="J35:J36"/>
    <mergeCell ref="D37:D38"/>
    <mergeCell ref="G37:G38"/>
    <mergeCell ref="H37:H38"/>
    <mergeCell ref="I37:I38"/>
    <mergeCell ref="J37:J38"/>
    <mergeCell ref="D41:D42"/>
    <mergeCell ref="G41:G42"/>
    <mergeCell ref="H41:H42"/>
    <mergeCell ref="I41:I42"/>
    <mergeCell ref="J41:J42"/>
    <mergeCell ref="D33:D34"/>
    <mergeCell ref="G33:G34"/>
    <mergeCell ref="H33:H34"/>
    <mergeCell ref="I33:I34"/>
    <mergeCell ref="J33:J34"/>
    <mergeCell ref="D39:D40"/>
    <mergeCell ref="G39:G40"/>
    <mergeCell ref="H39:H40"/>
    <mergeCell ref="I39:I40"/>
    <mergeCell ref="J39:J40"/>
    <mergeCell ref="D35:D36"/>
    <mergeCell ref="G35:G36"/>
    <mergeCell ref="H35:H36"/>
    <mergeCell ref="I35:I36"/>
    <mergeCell ref="J31:J32"/>
    <mergeCell ref="D27:D28"/>
    <mergeCell ref="G27:G28"/>
    <mergeCell ref="H27:H28"/>
    <mergeCell ref="I27:I28"/>
    <mergeCell ref="J27:J28"/>
    <mergeCell ref="D29:D30"/>
    <mergeCell ref="G29:G30"/>
    <mergeCell ref="H29:H30"/>
    <mergeCell ref="I29:I30"/>
    <mergeCell ref="J29:J30"/>
    <mergeCell ref="D31:D32"/>
    <mergeCell ref="G31:G32"/>
    <mergeCell ref="H31:H32"/>
    <mergeCell ref="I31:I32"/>
    <mergeCell ref="D23:D24"/>
    <mergeCell ref="G23:G24"/>
    <mergeCell ref="H23:H24"/>
    <mergeCell ref="I23:I24"/>
    <mergeCell ref="J23:J24"/>
    <mergeCell ref="D25:D26"/>
    <mergeCell ref="G25:G26"/>
    <mergeCell ref="H25:H26"/>
    <mergeCell ref="I25:I26"/>
    <mergeCell ref="J25:J26"/>
    <mergeCell ref="D19:D20"/>
    <mergeCell ref="G19:G20"/>
    <mergeCell ref="H19:H20"/>
    <mergeCell ref="I19:I20"/>
    <mergeCell ref="J19:J20"/>
    <mergeCell ref="D21:D22"/>
    <mergeCell ref="G21:G22"/>
    <mergeCell ref="H21:H22"/>
    <mergeCell ref="I21:I22"/>
    <mergeCell ref="J21:J22"/>
    <mergeCell ref="D15:D16"/>
    <mergeCell ref="G15:G16"/>
    <mergeCell ref="H15:H16"/>
    <mergeCell ref="I15:I16"/>
    <mergeCell ref="J15:J16"/>
    <mergeCell ref="D17:D18"/>
    <mergeCell ref="G17:G18"/>
    <mergeCell ref="H17:H18"/>
    <mergeCell ref="I17:I18"/>
    <mergeCell ref="J17:J18"/>
    <mergeCell ref="J11:J12"/>
    <mergeCell ref="D13:D14"/>
    <mergeCell ref="G13:G14"/>
    <mergeCell ref="H13:H14"/>
    <mergeCell ref="I13:I14"/>
    <mergeCell ref="J13:J14"/>
    <mergeCell ref="D8:I9"/>
    <mergeCell ref="D11:D12"/>
    <mergeCell ref="G11:G12"/>
    <mergeCell ref="H11:H12"/>
    <mergeCell ref="I11:I12"/>
    <mergeCell ref="E71:E72"/>
    <mergeCell ref="F71:F72"/>
    <mergeCell ref="D69:D70"/>
    <mergeCell ref="G69:G70"/>
    <mergeCell ref="H69:H70"/>
    <mergeCell ref="I69:I70"/>
    <mergeCell ref="J69:J70"/>
    <mergeCell ref="D71:D72"/>
    <mergeCell ref="G71:G72"/>
  </mergeCells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EDE7-1CB7-45FB-B12A-D3A81F64B0E3}">
  <dimension ref="B3:J37"/>
  <sheetViews>
    <sheetView rightToLeft="1" zoomScale="90" zoomScaleNormal="90" workbookViewId="0">
      <selection activeCell="F22" sqref="F22:F23"/>
    </sheetView>
  </sheetViews>
  <sheetFormatPr defaultColWidth="11.42578125" defaultRowHeight="15" x14ac:dyDescent="0.25"/>
  <cols>
    <col min="2" max="2" width="16.5703125" bestFit="1" customWidth="1"/>
    <col min="3" max="4" width="15.7109375" customWidth="1"/>
    <col min="5" max="5" width="15.28515625" customWidth="1"/>
    <col min="6" max="6" width="66.28515625" bestFit="1" customWidth="1"/>
  </cols>
  <sheetData>
    <row r="3" spans="2:10" ht="26.25" x14ac:dyDescent="0.4">
      <c r="B3" s="44" t="s">
        <v>386</v>
      </c>
      <c r="C3" s="45" t="s">
        <v>387</v>
      </c>
      <c r="D3" s="65" t="s">
        <v>679</v>
      </c>
      <c r="E3" s="45" t="s">
        <v>388</v>
      </c>
      <c r="F3" s="45" t="s">
        <v>389</v>
      </c>
    </row>
    <row r="4" spans="2:10" ht="18.75" x14ac:dyDescent="0.25">
      <c r="B4" s="313">
        <v>46279</v>
      </c>
      <c r="C4" s="315">
        <v>48050</v>
      </c>
      <c r="D4" s="59"/>
      <c r="E4" s="315">
        <v>4750</v>
      </c>
      <c r="F4" s="279" t="s">
        <v>390</v>
      </c>
    </row>
    <row r="5" spans="2:10" ht="18.75" x14ac:dyDescent="0.25">
      <c r="B5" s="314"/>
      <c r="C5" s="316"/>
      <c r="D5" s="60"/>
      <c r="E5" s="316"/>
      <c r="F5" s="280"/>
    </row>
    <row r="6" spans="2:10" ht="18.75" x14ac:dyDescent="0.25">
      <c r="B6" s="313">
        <v>46280</v>
      </c>
      <c r="C6" s="315">
        <v>50200</v>
      </c>
      <c r="D6" s="59"/>
      <c r="E6" s="315">
        <v>6500</v>
      </c>
      <c r="F6" s="279" t="s">
        <v>513</v>
      </c>
    </row>
    <row r="7" spans="2:10" ht="18.75" x14ac:dyDescent="0.25">
      <c r="B7" s="314"/>
      <c r="C7" s="316"/>
      <c r="D7" s="60"/>
      <c r="E7" s="316"/>
      <c r="F7" s="280"/>
    </row>
    <row r="8" spans="2:10" ht="18.75" x14ac:dyDescent="0.25">
      <c r="B8" s="313">
        <v>46281</v>
      </c>
      <c r="C8" s="315">
        <v>28900</v>
      </c>
      <c r="D8" s="59"/>
      <c r="E8" s="98">
        <v>1500</v>
      </c>
      <c r="F8" s="317" t="s">
        <v>576</v>
      </c>
    </row>
    <row r="9" spans="2:10" ht="18.75" x14ac:dyDescent="0.25">
      <c r="B9" s="314"/>
      <c r="C9" s="316"/>
      <c r="D9" s="60"/>
      <c r="E9" s="99"/>
      <c r="F9" s="318"/>
    </row>
    <row r="10" spans="2:10" x14ac:dyDescent="0.25">
      <c r="B10" s="313">
        <v>46282</v>
      </c>
      <c r="C10" s="98">
        <v>8500</v>
      </c>
      <c r="D10" s="12"/>
      <c r="E10" s="98">
        <v>1000</v>
      </c>
      <c r="F10" s="319" t="s">
        <v>578</v>
      </c>
    </row>
    <row r="11" spans="2:10" x14ac:dyDescent="0.25">
      <c r="B11" s="314"/>
      <c r="C11" s="99"/>
      <c r="D11" s="13"/>
      <c r="E11" s="99"/>
      <c r="F11" s="320"/>
    </row>
    <row r="12" spans="2:10" x14ac:dyDescent="0.25">
      <c r="B12" s="313">
        <v>46283</v>
      </c>
      <c r="C12" s="98"/>
      <c r="D12" s="12"/>
      <c r="E12" s="98"/>
      <c r="F12" s="319"/>
    </row>
    <row r="13" spans="2:10" x14ac:dyDescent="0.25">
      <c r="B13" s="314"/>
      <c r="C13" s="99"/>
      <c r="D13" s="13"/>
      <c r="E13" s="99"/>
      <c r="F13" s="320"/>
    </row>
    <row r="14" spans="2:10" ht="15" customHeight="1" x14ac:dyDescent="0.25">
      <c r="B14" s="313">
        <v>46284</v>
      </c>
      <c r="C14" s="98"/>
      <c r="D14" s="12"/>
      <c r="E14" s="98"/>
      <c r="F14" s="319"/>
    </row>
    <row r="15" spans="2:10" ht="15" customHeight="1" x14ac:dyDescent="0.25">
      <c r="B15" s="314"/>
      <c r="C15" s="99"/>
      <c r="D15" s="13"/>
      <c r="E15" s="99"/>
      <c r="F15" s="320"/>
      <c r="J15" t="s">
        <v>609</v>
      </c>
    </row>
    <row r="16" spans="2:10" ht="21" customHeight="1" x14ac:dyDescent="0.25">
      <c r="B16" s="313">
        <v>46285</v>
      </c>
      <c r="C16" s="321">
        <v>11400</v>
      </c>
      <c r="D16" s="321">
        <v>7650</v>
      </c>
      <c r="E16" s="321">
        <v>500</v>
      </c>
      <c r="F16" s="321" t="s">
        <v>661</v>
      </c>
    </row>
    <row r="17" spans="2:6" ht="21" customHeight="1" x14ac:dyDescent="0.25">
      <c r="B17" s="314"/>
      <c r="C17" s="322"/>
      <c r="D17" s="322"/>
      <c r="E17" s="322"/>
      <c r="F17" s="322"/>
    </row>
    <row r="18" spans="2:6" x14ac:dyDescent="0.25">
      <c r="B18" s="313">
        <v>46286</v>
      </c>
      <c r="C18" s="98"/>
      <c r="D18" s="12"/>
      <c r="E18" s="98"/>
      <c r="F18" s="319"/>
    </row>
    <row r="19" spans="2:6" x14ac:dyDescent="0.25">
      <c r="B19" s="314"/>
      <c r="C19" s="99"/>
      <c r="D19" s="13"/>
      <c r="E19" s="99"/>
      <c r="F19" s="320"/>
    </row>
    <row r="20" spans="2:6" x14ac:dyDescent="0.25">
      <c r="B20" s="313">
        <v>46287</v>
      </c>
      <c r="C20" s="98"/>
      <c r="D20" s="12"/>
      <c r="E20" s="98"/>
      <c r="F20" s="319"/>
    </row>
    <row r="21" spans="2:6" x14ac:dyDescent="0.25">
      <c r="B21" s="314"/>
      <c r="C21" s="99"/>
      <c r="D21" s="13"/>
      <c r="E21" s="99"/>
      <c r="F21" s="320"/>
    </row>
    <row r="22" spans="2:6" x14ac:dyDescent="0.25">
      <c r="B22" s="313">
        <v>46288</v>
      </c>
      <c r="C22" s="98">
        <v>7000</v>
      </c>
      <c r="D22" s="12">
        <v>6000</v>
      </c>
      <c r="E22" s="98">
        <v>1000</v>
      </c>
      <c r="F22" s="319"/>
    </row>
    <row r="23" spans="2:6" x14ac:dyDescent="0.25">
      <c r="B23" s="314"/>
      <c r="C23" s="99"/>
      <c r="D23" s="13"/>
      <c r="E23" s="99"/>
      <c r="F23" s="320"/>
    </row>
    <row r="24" spans="2:6" x14ac:dyDescent="0.25">
      <c r="B24" s="313">
        <v>46289</v>
      </c>
      <c r="C24" s="98"/>
      <c r="D24" s="12"/>
      <c r="E24" s="98"/>
      <c r="F24" s="319"/>
    </row>
    <row r="25" spans="2:6" x14ac:dyDescent="0.25">
      <c r="B25" s="314"/>
      <c r="C25" s="99"/>
      <c r="D25" s="13"/>
      <c r="E25" s="99"/>
      <c r="F25" s="320"/>
    </row>
    <row r="26" spans="2:6" x14ac:dyDescent="0.25">
      <c r="B26" s="313">
        <v>46290</v>
      </c>
      <c r="C26" s="98"/>
      <c r="D26" s="12"/>
      <c r="E26" s="98"/>
      <c r="F26" s="319"/>
    </row>
    <row r="27" spans="2:6" x14ac:dyDescent="0.25">
      <c r="B27" s="314"/>
      <c r="C27" s="99"/>
      <c r="D27" s="13"/>
      <c r="E27" s="99"/>
      <c r="F27" s="320"/>
    </row>
    <row r="28" spans="2:6" x14ac:dyDescent="0.25">
      <c r="B28" s="313">
        <v>46291</v>
      </c>
      <c r="C28" s="98"/>
      <c r="D28" s="12"/>
      <c r="E28" s="98"/>
      <c r="F28" s="319"/>
    </row>
    <row r="29" spans="2:6" x14ac:dyDescent="0.25">
      <c r="B29" s="314"/>
      <c r="C29" s="99"/>
      <c r="D29" s="13"/>
      <c r="E29" s="99"/>
      <c r="F29" s="320"/>
    </row>
    <row r="30" spans="2:6" x14ac:dyDescent="0.25">
      <c r="B30" s="313">
        <v>46292</v>
      </c>
      <c r="C30" s="98"/>
      <c r="D30" s="12"/>
      <c r="E30" s="98"/>
      <c r="F30" s="319"/>
    </row>
    <row r="31" spans="2:6" x14ac:dyDescent="0.25">
      <c r="B31" s="314"/>
      <c r="C31" s="99"/>
      <c r="D31" s="13"/>
      <c r="E31" s="99"/>
      <c r="F31" s="320"/>
    </row>
    <row r="32" spans="2:6" x14ac:dyDescent="0.25">
      <c r="B32" s="313">
        <v>46293</v>
      </c>
      <c r="C32" s="98"/>
      <c r="D32" s="12"/>
      <c r="E32" s="98"/>
      <c r="F32" s="319"/>
    </row>
    <row r="33" spans="2:6" x14ac:dyDescent="0.25">
      <c r="B33" s="314"/>
      <c r="C33" s="99"/>
      <c r="D33" s="13"/>
      <c r="E33" s="99"/>
      <c r="F33" s="320"/>
    </row>
    <row r="34" spans="2:6" x14ac:dyDescent="0.25">
      <c r="B34" s="313">
        <v>46294</v>
      </c>
      <c r="C34" s="98"/>
      <c r="D34" s="12"/>
      <c r="E34" s="98"/>
      <c r="F34" s="319"/>
    </row>
    <row r="35" spans="2:6" x14ac:dyDescent="0.25">
      <c r="B35" s="314"/>
      <c r="C35" s="99"/>
      <c r="D35" s="13"/>
      <c r="E35" s="99"/>
      <c r="F35" s="320"/>
    </row>
    <row r="36" spans="2:6" x14ac:dyDescent="0.25">
      <c r="B36" s="313">
        <v>46295</v>
      </c>
      <c r="C36" s="98"/>
      <c r="D36" s="12"/>
      <c r="E36" s="98"/>
      <c r="F36" s="319"/>
    </row>
    <row r="37" spans="2:6" x14ac:dyDescent="0.25">
      <c r="B37" s="314"/>
      <c r="C37" s="99"/>
      <c r="D37" s="13"/>
      <c r="E37" s="99"/>
      <c r="F37" s="320"/>
    </row>
  </sheetData>
  <mergeCells count="69">
    <mergeCell ref="B36:B37"/>
    <mergeCell ref="C36:C37"/>
    <mergeCell ref="F36:F37"/>
    <mergeCell ref="B32:B33"/>
    <mergeCell ref="C32:C33"/>
    <mergeCell ref="F32:F33"/>
    <mergeCell ref="B34:B35"/>
    <mergeCell ref="C34:C35"/>
    <mergeCell ref="F34:F35"/>
    <mergeCell ref="E32:E33"/>
    <mergeCell ref="E34:E35"/>
    <mergeCell ref="E36:E37"/>
    <mergeCell ref="B28:B29"/>
    <mergeCell ref="C28:C29"/>
    <mergeCell ref="F28:F29"/>
    <mergeCell ref="B30:B31"/>
    <mergeCell ref="C30:C31"/>
    <mergeCell ref="F30:F31"/>
    <mergeCell ref="E28:E29"/>
    <mergeCell ref="E30:E31"/>
    <mergeCell ref="B24:B25"/>
    <mergeCell ref="C24:C25"/>
    <mergeCell ref="F24:F25"/>
    <mergeCell ref="B26:B27"/>
    <mergeCell ref="C26:C27"/>
    <mergeCell ref="F26:F27"/>
    <mergeCell ref="E24:E25"/>
    <mergeCell ref="E26:E27"/>
    <mergeCell ref="B20:B21"/>
    <mergeCell ref="C20:C21"/>
    <mergeCell ref="F20:F21"/>
    <mergeCell ref="B22:B23"/>
    <mergeCell ref="C22:C23"/>
    <mergeCell ref="F22:F23"/>
    <mergeCell ref="E20:E21"/>
    <mergeCell ref="E22:E23"/>
    <mergeCell ref="B16:B17"/>
    <mergeCell ref="C16:C17"/>
    <mergeCell ref="F16:F17"/>
    <mergeCell ref="B18:B19"/>
    <mergeCell ref="C18:C19"/>
    <mergeCell ref="F18:F19"/>
    <mergeCell ref="E16:E17"/>
    <mergeCell ref="E18:E19"/>
    <mergeCell ref="D16:D17"/>
    <mergeCell ref="B12:B13"/>
    <mergeCell ref="C12:C13"/>
    <mergeCell ref="F12:F13"/>
    <mergeCell ref="B14:B15"/>
    <mergeCell ref="C14:C15"/>
    <mergeCell ref="F14:F15"/>
    <mergeCell ref="E12:E13"/>
    <mergeCell ref="E14:E15"/>
    <mergeCell ref="B8:B9"/>
    <mergeCell ref="C8:C9"/>
    <mergeCell ref="F8:F9"/>
    <mergeCell ref="B10:B11"/>
    <mergeCell ref="C10:C11"/>
    <mergeCell ref="F10:F11"/>
    <mergeCell ref="E8:E9"/>
    <mergeCell ref="E10:E11"/>
    <mergeCell ref="B4:B5"/>
    <mergeCell ref="C4:C5"/>
    <mergeCell ref="E4:E5"/>
    <mergeCell ref="F4:F5"/>
    <mergeCell ref="B6:B7"/>
    <mergeCell ref="C6:C7"/>
    <mergeCell ref="F6:F7"/>
    <mergeCell ref="E6:E7"/>
  </mergeCells>
  <pageMargins left="0.7" right="0.7" top="0.75" bottom="0.75" header="0.3" footer="0.3"/>
  <pageSetup paperSize="9" orientation="portrait" horizontalDpi="4294967293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1414-6250-4106-AD76-1222F81AACB7}">
  <dimension ref="D6:H41"/>
  <sheetViews>
    <sheetView rightToLeft="1" workbookViewId="0">
      <selection activeCell="J14" sqref="J14"/>
    </sheetView>
  </sheetViews>
  <sheetFormatPr defaultColWidth="11.42578125" defaultRowHeight="15" x14ac:dyDescent="0.25"/>
  <cols>
    <col min="4" max="4" width="17.5703125" customWidth="1"/>
    <col min="5" max="5" width="20.7109375" customWidth="1"/>
    <col min="6" max="6" width="17.42578125" customWidth="1"/>
    <col min="7" max="7" width="16.7109375" customWidth="1"/>
    <col min="8" max="8" width="15.7109375" customWidth="1"/>
  </cols>
  <sheetData>
    <row r="6" spans="4:8" ht="15" customHeight="1" x14ac:dyDescent="0.25">
      <c r="D6" s="326" t="s">
        <v>992</v>
      </c>
      <c r="E6" s="326"/>
      <c r="F6" s="326"/>
      <c r="G6" s="326"/>
      <c r="H6" s="326"/>
    </row>
    <row r="7" spans="4:8" ht="15" customHeight="1" x14ac:dyDescent="0.25">
      <c r="D7" s="326"/>
      <c r="E7" s="326"/>
      <c r="F7" s="326"/>
      <c r="G7" s="326"/>
      <c r="H7" s="326"/>
    </row>
    <row r="8" spans="4:8" ht="15.75" customHeight="1" x14ac:dyDescent="0.25">
      <c r="D8" s="323" t="s">
        <v>993</v>
      </c>
      <c r="E8" s="76">
        <v>3000</v>
      </c>
      <c r="F8" s="274" t="s">
        <v>995</v>
      </c>
      <c r="G8" s="325" t="s">
        <v>996</v>
      </c>
      <c r="H8" s="212" t="s">
        <v>997</v>
      </c>
    </row>
    <row r="9" spans="4:8" ht="21.75" customHeight="1" x14ac:dyDescent="0.25">
      <c r="D9" s="323"/>
      <c r="E9" s="6" t="s">
        <v>994</v>
      </c>
      <c r="F9" s="274"/>
      <c r="G9" s="325"/>
      <c r="H9" s="213"/>
    </row>
    <row r="10" spans="4:8" ht="15.75" customHeight="1" x14ac:dyDescent="0.25">
      <c r="D10" s="323"/>
      <c r="E10" s="76"/>
      <c r="F10" s="274"/>
      <c r="G10" s="325"/>
      <c r="H10" s="212"/>
    </row>
    <row r="11" spans="4:8" ht="15" customHeight="1" x14ac:dyDescent="0.25">
      <c r="D11" s="323"/>
      <c r="E11" s="5"/>
      <c r="F11" s="274"/>
      <c r="G11" s="325"/>
      <c r="H11" s="213"/>
    </row>
    <row r="12" spans="4:8" ht="15.75" customHeight="1" x14ac:dyDescent="0.25">
      <c r="D12" s="323"/>
      <c r="E12" s="76"/>
      <c r="F12" s="274"/>
      <c r="G12" s="325"/>
      <c r="H12" s="212"/>
    </row>
    <row r="13" spans="4:8" ht="15" customHeight="1" x14ac:dyDescent="0.25">
      <c r="D13" s="323"/>
      <c r="E13" s="5"/>
      <c r="F13" s="274"/>
      <c r="G13" s="325"/>
      <c r="H13" s="213"/>
    </row>
    <row r="14" spans="4:8" ht="15.75" customHeight="1" x14ac:dyDescent="0.25">
      <c r="D14" s="323"/>
      <c r="E14" s="76"/>
      <c r="F14" s="274"/>
      <c r="G14" s="325"/>
      <c r="H14" s="212"/>
    </row>
    <row r="15" spans="4:8" ht="15" customHeight="1" x14ac:dyDescent="0.25">
      <c r="D15" s="323"/>
      <c r="E15" s="5"/>
      <c r="F15" s="274"/>
      <c r="G15" s="325"/>
      <c r="H15" s="213"/>
    </row>
    <row r="16" spans="4:8" ht="15.75" customHeight="1" x14ac:dyDescent="0.25">
      <c r="D16" s="323"/>
      <c r="E16" s="76"/>
      <c r="F16" s="274"/>
      <c r="G16" s="325"/>
      <c r="H16" s="212"/>
    </row>
    <row r="17" spans="4:8" ht="15" customHeight="1" x14ac:dyDescent="0.25">
      <c r="D17" s="323"/>
      <c r="E17" s="5"/>
      <c r="F17" s="274"/>
      <c r="G17" s="325"/>
      <c r="H17" s="213"/>
    </row>
    <row r="18" spans="4:8" ht="15.75" customHeight="1" x14ac:dyDescent="0.25">
      <c r="D18" s="323"/>
      <c r="E18" s="76"/>
      <c r="F18" s="274"/>
      <c r="G18" s="325"/>
      <c r="H18" s="212"/>
    </row>
    <row r="19" spans="4:8" ht="15" customHeight="1" x14ac:dyDescent="0.25">
      <c r="D19" s="323"/>
      <c r="E19" s="5"/>
      <c r="F19" s="274"/>
      <c r="G19" s="325"/>
      <c r="H19" s="213"/>
    </row>
    <row r="20" spans="4:8" ht="15.75" customHeight="1" x14ac:dyDescent="0.25">
      <c r="D20" s="323"/>
      <c r="E20" s="76"/>
      <c r="F20" s="274"/>
      <c r="G20" s="325"/>
      <c r="H20" s="212"/>
    </row>
    <row r="21" spans="4:8" ht="15" customHeight="1" x14ac:dyDescent="0.25">
      <c r="D21" s="323"/>
      <c r="E21" s="5"/>
      <c r="F21" s="274"/>
      <c r="G21" s="325"/>
      <c r="H21" s="213"/>
    </row>
    <row r="22" spans="4:8" ht="15.75" customHeight="1" x14ac:dyDescent="0.25">
      <c r="D22" s="323"/>
      <c r="E22" s="76"/>
      <c r="F22" s="274"/>
      <c r="G22" s="325"/>
      <c r="H22" s="212"/>
    </row>
    <row r="23" spans="4:8" x14ac:dyDescent="0.25">
      <c r="D23" s="323"/>
      <c r="E23" s="5"/>
      <c r="F23" s="274"/>
      <c r="G23" s="325"/>
      <c r="H23" s="213"/>
    </row>
    <row r="24" spans="4:8" ht="15.75" x14ac:dyDescent="0.25">
      <c r="D24" s="323"/>
      <c r="E24" s="76"/>
      <c r="F24" s="274"/>
      <c r="G24" s="325"/>
      <c r="H24" s="212"/>
    </row>
    <row r="25" spans="4:8" x14ac:dyDescent="0.25">
      <c r="D25" s="323"/>
      <c r="E25" s="5"/>
      <c r="F25" s="274"/>
      <c r="G25" s="325"/>
      <c r="H25" s="213"/>
    </row>
    <row r="26" spans="4:8" ht="15.75" x14ac:dyDescent="0.25">
      <c r="D26" s="323"/>
      <c r="E26" s="76"/>
      <c r="F26" s="274"/>
      <c r="G26" s="325"/>
      <c r="H26" s="325"/>
    </row>
    <row r="27" spans="4:8" x14ac:dyDescent="0.25">
      <c r="D27" s="323"/>
      <c r="E27" s="5"/>
      <c r="F27" s="274"/>
      <c r="G27" s="325"/>
      <c r="H27" s="325"/>
    </row>
    <row r="28" spans="4:8" ht="15.75" x14ac:dyDescent="0.25">
      <c r="D28" s="323"/>
      <c r="E28" s="76"/>
      <c r="F28" s="274"/>
      <c r="G28" s="325"/>
      <c r="H28" s="325"/>
    </row>
    <row r="29" spans="4:8" x14ac:dyDescent="0.25">
      <c r="D29" s="323"/>
      <c r="E29" s="5"/>
      <c r="F29" s="274"/>
      <c r="G29" s="325"/>
      <c r="H29" s="325"/>
    </row>
    <row r="30" spans="4:8" ht="15.75" x14ac:dyDescent="0.25">
      <c r="D30" s="323"/>
      <c r="E30" s="76"/>
      <c r="F30" s="274"/>
      <c r="G30" s="325"/>
      <c r="H30" s="325"/>
    </row>
    <row r="31" spans="4:8" x14ac:dyDescent="0.25">
      <c r="D31" s="323"/>
      <c r="E31" s="5"/>
      <c r="F31" s="274"/>
      <c r="G31" s="325"/>
      <c r="H31" s="325"/>
    </row>
    <row r="32" spans="4:8" ht="15.75" x14ac:dyDescent="0.25">
      <c r="D32" s="323"/>
      <c r="E32" s="76"/>
      <c r="F32" s="274"/>
      <c r="G32" s="325"/>
      <c r="H32" s="325"/>
    </row>
    <row r="33" spans="4:8" x14ac:dyDescent="0.25">
      <c r="D33" s="323"/>
      <c r="E33" s="5"/>
      <c r="F33" s="274"/>
      <c r="G33" s="325"/>
      <c r="H33" s="325"/>
    </row>
    <row r="34" spans="4:8" ht="15.75" x14ac:dyDescent="0.25">
      <c r="D34" s="323"/>
      <c r="E34" s="76"/>
      <c r="F34" s="274"/>
      <c r="G34" s="325"/>
      <c r="H34" s="325"/>
    </row>
    <row r="35" spans="4:8" x14ac:dyDescent="0.25">
      <c r="D35" s="323"/>
      <c r="E35" s="5"/>
      <c r="F35" s="274"/>
      <c r="G35" s="325"/>
      <c r="H35" s="325"/>
    </row>
    <row r="36" spans="4:8" ht="15.75" x14ac:dyDescent="0.25">
      <c r="D36" s="323"/>
      <c r="E36" s="76"/>
      <c r="F36" s="274"/>
      <c r="G36" s="325"/>
      <c r="H36" s="325"/>
    </row>
    <row r="37" spans="4:8" x14ac:dyDescent="0.25">
      <c r="D37" s="323"/>
      <c r="E37" s="5"/>
      <c r="F37" s="274"/>
      <c r="G37" s="325"/>
      <c r="H37" s="325"/>
    </row>
    <row r="38" spans="4:8" ht="15.75" x14ac:dyDescent="0.25">
      <c r="D38" s="323"/>
      <c r="E38" s="76"/>
      <c r="F38" s="324"/>
      <c r="G38" s="325"/>
      <c r="H38" s="325"/>
    </row>
    <row r="39" spans="4:8" x14ac:dyDescent="0.25">
      <c r="D39" s="323"/>
      <c r="E39" s="5"/>
      <c r="F39" s="324"/>
      <c r="G39" s="325"/>
      <c r="H39" s="325"/>
    </row>
    <row r="40" spans="4:8" ht="15.75" x14ac:dyDescent="0.25">
      <c r="D40" s="323"/>
      <c r="E40" s="76"/>
      <c r="F40" s="274"/>
      <c r="G40" s="325"/>
      <c r="H40" s="325"/>
    </row>
    <row r="41" spans="4:8" x14ac:dyDescent="0.25">
      <c r="D41" s="323"/>
      <c r="E41" s="5"/>
      <c r="F41" s="274"/>
      <c r="G41" s="325"/>
      <c r="H41" s="325"/>
    </row>
  </sheetData>
  <mergeCells count="69">
    <mergeCell ref="D6:H7"/>
    <mergeCell ref="D8:D9"/>
    <mergeCell ref="F8:F9"/>
    <mergeCell ref="G8:G9"/>
    <mergeCell ref="H8:H9"/>
    <mergeCell ref="F10:F11"/>
    <mergeCell ref="G10:G11"/>
    <mergeCell ref="H10:H11"/>
    <mergeCell ref="D12:D13"/>
    <mergeCell ref="F12:F13"/>
    <mergeCell ref="G12:G13"/>
    <mergeCell ref="H12:H13"/>
    <mergeCell ref="D10:D11"/>
    <mergeCell ref="D14:D15"/>
    <mergeCell ref="F14:F15"/>
    <mergeCell ref="G14:G15"/>
    <mergeCell ref="H14:H15"/>
    <mergeCell ref="D16:D17"/>
    <mergeCell ref="F16:F17"/>
    <mergeCell ref="G16:G17"/>
    <mergeCell ref="H16:H17"/>
    <mergeCell ref="D18:D19"/>
    <mergeCell ref="F18:F19"/>
    <mergeCell ref="G18:G19"/>
    <mergeCell ref="H18:H19"/>
    <mergeCell ref="D20:D21"/>
    <mergeCell ref="F20:F21"/>
    <mergeCell ref="G20:G21"/>
    <mergeCell ref="H20:H21"/>
    <mergeCell ref="D22:D23"/>
    <mergeCell ref="F22:F23"/>
    <mergeCell ref="G22:G23"/>
    <mergeCell ref="H22:H23"/>
    <mergeCell ref="D24:D25"/>
    <mergeCell ref="F24:F25"/>
    <mergeCell ref="G24:G25"/>
    <mergeCell ref="H24:H25"/>
    <mergeCell ref="D26:D27"/>
    <mergeCell ref="F26:F27"/>
    <mergeCell ref="G26:G27"/>
    <mergeCell ref="H26:H27"/>
    <mergeCell ref="D28:D29"/>
    <mergeCell ref="F28:F29"/>
    <mergeCell ref="G28:G29"/>
    <mergeCell ref="H28:H29"/>
    <mergeCell ref="D30:D31"/>
    <mergeCell ref="F30:F31"/>
    <mergeCell ref="G30:G31"/>
    <mergeCell ref="H30:H31"/>
    <mergeCell ref="D32:D33"/>
    <mergeCell ref="F32:F33"/>
    <mergeCell ref="G32:G33"/>
    <mergeCell ref="H32:H33"/>
    <mergeCell ref="D34:D35"/>
    <mergeCell ref="F34:F35"/>
    <mergeCell ref="G34:G35"/>
    <mergeCell ref="H34:H35"/>
    <mergeCell ref="D36:D37"/>
    <mergeCell ref="F36:F37"/>
    <mergeCell ref="G36:G37"/>
    <mergeCell ref="H36:H37"/>
    <mergeCell ref="D38:D39"/>
    <mergeCell ref="F38:F39"/>
    <mergeCell ref="G38:G39"/>
    <mergeCell ref="H38:H39"/>
    <mergeCell ref="D40:D41"/>
    <mergeCell ref="F40:F41"/>
    <mergeCell ref="G40:G41"/>
    <mergeCell ref="H40:H41"/>
  </mergeCell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n°bon</vt:lpstr>
      <vt:lpstr>2AS+AG</vt:lpstr>
      <vt:lpstr>4am</vt:lpstr>
      <vt:lpstr>bac</vt:lpstr>
      <vt:lpstr>3AM</vt:lpstr>
      <vt:lpstr>2AM</vt:lpstr>
      <vt:lpstr>1AM</vt:lpstr>
      <vt:lpstr>5ap</vt:lpstr>
      <vt:lpstr>3AP</vt:lpstr>
      <vt:lpstr>دورات 4و5ابتدائي</vt:lpstr>
      <vt:lpstr>4ap</vt:lpstr>
      <vt:lpstr>حصص فردية</vt:lpstr>
      <vt:lpstr>FORMATION SEP </vt:lpstr>
      <vt:lpstr>project engl</vt:lpstr>
      <vt:lpstr>ecole </vt:lpstr>
      <vt:lpstr>amphi</vt:lpstr>
      <vt:lpstr>R7</vt:lpstr>
      <vt:lpstr>one to 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WASSIM EZAIIM</cp:lastModifiedBy>
  <cp:lastPrinted>2026-09-24T15:06:59Z</cp:lastPrinted>
  <dcterms:created xsi:type="dcterms:W3CDTF">2015-06-05T18:19:34Z</dcterms:created>
  <dcterms:modified xsi:type="dcterms:W3CDTF">2026-09-30T10:51:23Z</dcterms:modified>
</cp:coreProperties>
</file>