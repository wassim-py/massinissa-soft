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wassi\OneDrive\Bureau\massinissa-school-software\data\"/>
    </mc:Choice>
  </mc:AlternateContent>
  <xr:revisionPtr revIDLastSave="0" documentId="13_ncr:1_{42D8C34A-A124-4717-A4A8-AC684A007626}" xr6:coauthVersionLast="47" xr6:coauthVersionMax="47" xr10:uidLastSave="{00000000-0000-0000-0000-000000000000}"/>
  <bookViews>
    <workbookView xWindow="-120" yWindow="16080" windowWidth="29040" windowHeight="8490" tabRatio="786" activeTab="4" xr2:uid="{00000000-000D-0000-FFFF-FFFF00000000}"/>
  </bookViews>
  <sheets>
    <sheet name="n°bon" sheetId="2" r:id="rId1"/>
    <sheet name="2AS+AG" sheetId="19" r:id="rId2"/>
    <sheet name="bac" sheetId="1" r:id="rId3"/>
    <sheet name="4am" sheetId="4" r:id="rId4"/>
    <sheet name="3AM" sheetId="11" r:id="rId5"/>
    <sheet name="2AM" sheetId="12" r:id="rId6"/>
    <sheet name="1AM" sheetId="15" r:id="rId7"/>
    <sheet name="5ap" sheetId="3" r:id="rId8"/>
    <sheet name="3AP" sheetId="13" r:id="rId9"/>
    <sheet name="دورات 4و5ابتدائي" sheetId="6" r:id="rId10"/>
    <sheet name="4ap" sheetId="14" r:id="rId11"/>
    <sheet name="FORMATION SEP " sheetId="5" r:id="rId12"/>
    <sheet name="project engl" sheetId="16" r:id="rId13"/>
    <sheet name="ecole " sheetId="8" r:id="rId14"/>
    <sheet name="Feuil1" sheetId="21" r:id="rId15"/>
    <sheet name="amphi" sheetId="9" r:id="rId16"/>
    <sheet name="R7" sheetId="10" r:id="rId17"/>
    <sheet name="one to one" sheetId="20" r:id="rId1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28" i="5" l="1"/>
  <c r="V128" i="5"/>
  <c r="U128" i="5"/>
  <c r="V100" i="5"/>
  <c r="U100" i="5"/>
  <c r="T100" i="5"/>
  <c r="N128" i="5"/>
  <c r="L128" i="5"/>
  <c r="K128" i="5"/>
  <c r="G128" i="5"/>
  <c r="E128" i="5"/>
  <c r="D128" i="5"/>
  <c r="E40" i="5" l="1"/>
  <c r="F83" i="5"/>
  <c r="E83" i="5"/>
  <c r="D83" i="5"/>
  <c r="M84" i="5"/>
  <c r="K84" i="5"/>
  <c r="J84" i="5"/>
  <c r="V70" i="5"/>
  <c r="U70" i="5"/>
  <c r="T70" i="5"/>
  <c r="K40" i="5"/>
  <c r="M40" i="5" l="1"/>
  <c r="J40" i="5"/>
  <c r="F40" i="5"/>
  <c r="D40" i="5"/>
</calcChain>
</file>

<file path=xl/sharedStrings.xml><?xml version="1.0" encoding="utf-8"?>
<sst xmlns="http://schemas.openxmlformats.org/spreadsheetml/2006/main" count="3155" uniqueCount="1379">
  <si>
    <t>الاسم واللقب</t>
  </si>
  <si>
    <t>رقم الهاتف</t>
  </si>
  <si>
    <t>حقوق التسجيل</t>
  </si>
  <si>
    <t>الشهر 01</t>
  </si>
  <si>
    <t>الشهر 02</t>
  </si>
  <si>
    <t>الشهر 03</t>
  </si>
  <si>
    <t>الشهر 04</t>
  </si>
  <si>
    <t>الشهر 05</t>
  </si>
  <si>
    <t>الشهر 06</t>
  </si>
  <si>
    <t>الشهر 07</t>
  </si>
  <si>
    <t>الشهر 08</t>
  </si>
  <si>
    <t>الشهر 09</t>
  </si>
  <si>
    <t>الشهر 10</t>
  </si>
  <si>
    <t>الشهر 11</t>
  </si>
  <si>
    <t>الشهر 12</t>
  </si>
  <si>
    <t>تركي محمد</t>
  </si>
  <si>
    <t>BON 02/ecole(03/08/2026)</t>
  </si>
  <si>
    <t>بن مرخي دعاء</t>
  </si>
  <si>
    <t>05 61 91 95 99</t>
  </si>
  <si>
    <t>BON 01(03/08/2026)</t>
  </si>
  <si>
    <t>ميرود رامي</t>
  </si>
  <si>
    <t>07 79 94 52 72</t>
  </si>
  <si>
    <t>فراجة هيام</t>
  </si>
  <si>
    <t>07 71 54 82 83</t>
  </si>
  <si>
    <t>BON 03(04/08/2026)</t>
  </si>
  <si>
    <t>محروق أحمد</t>
  </si>
  <si>
    <t>05 54 54 03 86</t>
  </si>
  <si>
    <t>BON 04(04/08/2026)</t>
  </si>
  <si>
    <t>بولكحل لجين</t>
  </si>
  <si>
    <t>07 97 45 60 34</t>
  </si>
  <si>
    <t>BON 05(05/08/2026)</t>
  </si>
  <si>
    <t>قلقول  /محاسبة</t>
  </si>
  <si>
    <t>بوعليطة مصعب</t>
  </si>
  <si>
    <t>BON 06(06/08/2026)</t>
  </si>
  <si>
    <t xml:space="preserve"> 05 63 38 41 13 / 05 42 43 08 32</t>
  </si>
  <si>
    <t>مصباح رائد</t>
  </si>
  <si>
    <t>07 99 68 90 05</t>
  </si>
  <si>
    <t>هدواس لجين</t>
  </si>
  <si>
    <t>BON 10(06/08/2026)</t>
  </si>
  <si>
    <t>06 66 99 77 72 / 06 76 98 70 37</t>
  </si>
  <si>
    <t>بهناس ميار</t>
  </si>
  <si>
    <t>07 83 32 14 80</t>
  </si>
  <si>
    <t>BON 13(11/08/2026)</t>
  </si>
  <si>
    <t>رقراج آية</t>
  </si>
  <si>
    <t>05 59 46 64 29</t>
  </si>
  <si>
    <t>BON 14(11/08/2026)</t>
  </si>
  <si>
    <t>اريدير يوسف</t>
  </si>
  <si>
    <t>BON 15(12/08/2026)</t>
  </si>
  <si>
    <t>05 50 04 13 80/07 95 78 17 51</t>
  </si>
  <si>
    <t>بروة يحي جاد</t>
  </si>
  <si>
    <t>BON 16(12/08/2026)</t>
  </si>
  <si>
    <t>عيساوي اسراء</t>
  </si>
  <si>
    <t>BON11(16/08/2026)</t>
  </si>
  <si>
    <t>05 60 93 58 55</t>
  </si>
  <si>
    <t>3as</t>
  </si>
  <si>
    <t>نموشي /رياضيات</t>
  </si>
  <si>
    <t>نموشي /عربية</t>
  </si>
  <si>
    <t>بن عزوز /فرنسية</t>
  </si>
  <si>
    <t>مروة /انجليزية</t>
  </si>
  <si>
    <t>الكنز لجين</t>
  </si>
  <si>
    <t>06 60 51 31 68</t>
  </si>
  <si>
    <t>BON 01(17/08/2026)</t>
  </si>
  <si>
    <t>5ap</t>
  </si>
  <si>
    <t>عميرش /رياضيات فوج 01</t>
  </si>
  <si>
    <t>بوبكر مهدي</t>
  </si>
  <si>
    <t>06 55 90 67 41</t>
  </si>
  <si>
    <t>BON 01(16/08/2026)</t>
  </si>
  <si>
    <t>عميرش /رياضيات فوج 02</t>
  </si>
  <si>
    <t>بوخزر/انجليزية فوج 01</t>
  </si>
  <si>
    <t>بوخزر/انجليزية فوج 02</t>
  </si>
  <si>
    <t>لعروسي/فرنسية فوج 01</t>
  </si>
  <si>
    <t>4am</t>
  </si>
  <si>
    <t>مطبوعات ف01</t>
  </si>
  <si>
    <t>مطبوعات ف02</t>
  </si>
  <si>
    <t>مطبوعات ف03</t>
  </si>
  <si>
    <t>نعيجة جيهان</t>
  </si>
  <si>
    <t>06 59 23 22 15/06 61 15 74 25</t>
  </si>
  <si>
    <t>BON 26/amphi(04/08/2026)</t>
  </si>
  <si>
    <t>بوثلجة رحاب</t>
  </si>
  <si>
    <t>06 61 31 56 33</t>
  </si>
  <si>
    <t>عروم سامي</t>
  </si>
  <si>
    <t>06 57 63 42 15 / 07 71 24 54 20</t>
  </si>
  <si>
    <t>عويدي سرين هديل</t>
  </si>
  <si>
    <t>07 94 92 17 57</t>
  </si>
  <si>
    <t>بلخيري مروة + صفاء</t>
  </si>
  <si>
    <t>06 71 62 70 52</t>
  </si>
  <si>
    <t>BON 45/ecole(11/08/2026)</t>
  </si>
  <si>
    <t>BON 71/ecole(20/08/2026)</t>
  </si>
  <si>
    <t>BON 21/ecole(04/08/2026)</t>
  </si>
  <si>
    <t>BON 60/ecole(17/08/2026)</t>
  </si>
  <si>
    <t>BON 13(24/08/2026)</t>
  </si>
  <si>
    <t>حرز الله عبد المجيب</t>
  </si>
  <si>
    <t>05 40 79 21 49</t>
  </si>
  <si>
    <t>BON 14(24/08/2026)</t>
  </si>
  <si>
    <t>BON 15(25/08/2026)</t>
  </si>
  <si>
    <t>بحشاشي عبد الرحمان</t>
  </si>
  <si>
    <t>07 70 38 36 02</t>
  </si>
  <si>
    <t>جباسي محمد يونس</t>
  </si>
  <si>
    <t>فقير زكرياء</t>
  </si>
  <si>
    <t>BON 16(25/08/2026)</t>
  </si>
  <si>
    <t>دولة أريج</t>
  </si>
  <si>
    <t>BON 18(26/08/2026)</t>
  </si>
  <si>
    <t>العرباوي ايناس</t>
  </si>
  <si>
    <t>BON 19(26/08/2026)</t>
  </si>
  <si>
    <t>BON 20(27/08/2026)</t>
  </si>
  <si>
    <t>3000+7000</t>
  </si>
  <si>
    <t>BON79/ecole+21(23+28/08/2026)</t>
  </si>
  <si>
    <t>BON 21(28/08/2026)</t>
  </si>
  <si>
    <t>3000+12000</t>
  </si>
  <si>
    <t>BON 21/ecole+22+28(04/08/2026)</t>
  </si>
  <si>
    <t>بلمرابط معتصم بالله</t>
  </si>
  <si>
    <t>BON25 (31/08/2026)</t>
  </si>
  <si>
    <t>معمري رتاج</t>
  </si>
  <si>
    <t>0654 80 71 29 / 0674 80 81 98</t>
  </si>
  <si>
    <t>بن داود سيرين</t>
  </si>
  <si>
    <t>0773 18 64 74</t>
  </si>
  <si>
    <t>BON+ECL 48(29/08/2026)</t>
  </si>
  <si>
    <t xml:space="preserve"> هندسة ميكانيك /بوزيد</t>
  </si>
  <si>
    <t xml:space="preserve">بن مهريز /أدبي /انجليزية </t>
  </si>
  <si>
    <t>0668 54 68 81</t>
  </si>
  <si>
    <t>BON 26(02/09/2026)</t>
  </si>
  <si>
    <t>وجدان /علمي/ انجليزية</t>
  </si>
  <si>
    <t>بن شعبان محمد امين</t>
  </si>
  <si>
    <t>BON 27(03/09/2026)</t>
  </si>
  <si>
    <t>BON 29(03/09/2026)</t>
  </si>
  <si>
    <t>حموي /فوج خاص/ فيزياء/علمي و تقني رياضي</t>
  </si>
  <si>
    <t>BON 30(04/09/2026)</t>
  </si>
  <si>
    <t>bon31(04/09/2026)</t>
  </si>
  <si>
    <t>BON32(04/09/2026)</t>
  </si>
  <si>
    <t>BON33 (04/09/2026)</t>
  </si>
  <si>
    <t>عناني عبد الرؤوف</t>
  </si>
  <si>
    <t>BON34 (04/09/2026)</t>
  </si>
  <si>
    <t>bon 35 (04/09/2026)</t>
  </si>
  <si>
    <t>بوصلان معاد</t>
  </si>
  <si>
    <t>BON36 (04/09/2026)</t>
  </si>
  <si>
    <t>نكاع فرح</t>
  </si>
  <si>
    <t>BON 37 (04/09/2026)</t>
  </si>
  <si>
    <t>BON38 (04/09/2026)</t>
  </si>
  <si>
    <t>BON39 (04/09/2026)</t>
  </si>
  <si>
    <t>BON 02+38(03/08/2026)+(04/09/2026)</t>
  </si>
  <si>
    <t>1000+1500</t>
  </si>
  <si>
    <t>بن مشير فؤاد</t>
  </si>
  <si>
    <t xml:space="preserve">مشيروف سيرين نورهان </t>
  </si>
  <si>
    <t>BON40(04/09/2026)</t>
  </si>
  <si>
    <t>NOM</t>
  </si>
  <si>
    <t>FI</t>
  </si>
  <si>
    <t>livres</t>
  </si>
  <si>
    <t>F NV</t>
  </si>
  <si>
    <t>المجموع</t>
  </si>
  <si>
    <t>BON42(05/09/2026)</t>
  </si>
  <si>
    <t>BON43 (05/09/2026)</t>
  </si>
  <si>
    <t>فردي رياضيات ش/تسيير</t>
  </si>
  <si>
    <t>معيدوش أمين</t>
  </si>
  <si>
    <t>06 67 09 15 80</t>
  </si>
  <si>
    <t>ثعبان انس عبدالله</t>
  </si>
  <si>
    <t>دزيري يحي</t>
  </si>
  <si>
    <t>0656 49 84 95</t>
  </si>
  <si>
    <t xml:space="preserve">بهاز كوثر </t>
  </si>
  <si>
    <t>06 64930043</t>
  </si>
  <si>
    <t>BON45 (07/09/2026)</t>
  </si>
  <si>
    <t>قسوم /اسبانية/ادبي</t>
  </si>
  <si>
    <t>ميري نورهان</t>
  </si>
  <si>
    <t>علام رتاج</t>
  </si>
  <si>
    <t>BON46 (07/09/2026)</t>
  </si>
  <si>
    <t>مهدي شريف محمد</t>
  </si>
  <si>
    <t>05 60086057</t>
  </si>
  <si>
    <t>BON47(07/09/2026)</t>
  </si>
  <si>
    <t>BON48(07/09/2026)</t>
  </si>
  <si>
    <t>مشهراوي ياسين</t>
  </si>
  <si>
    <t>BON49(07/09/2026)</t>
  </si>
  <si>
    <t>BON50(07/09/2026)</t>
  </si>
  <si>
    <t>عكاشة عبد المؤمن</t>
  </si>
  <si>
    <t>نموشي /عربية+رياضيات  5AP</t>
  </si>
  <si>
    <t>بومحراث جينان</t>
  </si>
  <si>
    <t>05 50969260</t>
  </si>
  <si>
    <t>bon01(05/09/2026)</t>
  </si>
  <si>
    <t xml:space="preserve">     prix</t>
  </si>
  <si>
    <t>دورة مراجعة</t>
  </si>
  <si>
    <t xml:space="preserve">بو الحوت امجد </t>
  </si>
  <si>
    <t>06 56251240</t>
  </si>
  <si>
    <t>BON02(07/09/2026)</t>
  </si>
  <si>
    <t xml:space="preserve">يزيد خليل </t>
  </si>
  <si>
    <t>07 82863088</t>
  </si>
  <si>
    <t>BON03(07/09/2026)</t>
  </si>
  <si>
    <t>بوضرسة ساجد</t>
  </si>
  <si>
    <t>BON04(08/09/2026)</t>
  </si>
  <si>
    <t>بلزرت يوسف</t>
  </si>
  <si>
    <t>06 96522648</t>
  </si>
  <si>
    <t>BON05(08/09/2026)</t>
  </si>
  <si>
    <t>غولة ميراس</t>
  </si>
  <si>
    <t>07 99776980</t>
  </si>
  <si>
    <t>BON06(08/09/2026)</t>
  </si>
  <si>
    <t>غربي جنى</t>
  </si>
  <si>
    <t>05 40749932</t>
  </si>
  <si>
    <t>BON07(08/09/2026)</t>
  </si>
  <si>
    <t>مشارة يوسف</t>
  </si>
  <si>
    <t>BON09(08/09/2026)</t>
  </si>
  <si>
    <t>05 58497503</t>
  </si>
  <si>
    <t>نموشي /عربية+رياضيات  4AP</t>
  </si>
  <si>
    <t>حركات تيم</t>
  </si>
  <si>
    <t>05 51915327</t>
  </si>
  <si>
    <t>BON10(08/09/2026)</t>
  </si>
  <si>
    <t>حيمد امير</t>
  </si>
  <si>
    <t>BON 52(07/09/2026)</t>
  </si>
  <si>
    <t>بوبكر عبد الرحمان</t>
  </si>
  <si>
    <t>BON53(07/09/2026)</t>
  </si>
  <si>
    <t>بوحلاسة مجيب الرحمان</t>
  </si>
  <si>
    <t>BON54 (07/09/2026)</t>
  </si>
  <si>
    <t>كشتولي محمد أرسلان</t>
  </si>
  <si>
    <t>06 71757393</t>
  </si>
  <si>
    <t>BON55(09/09/2026)</t>
  </si>
  <si>
    <t>BON56(09/09/2026)</t>
  </si>
  <si>
    <t xml:space="preserve">طيار فيزياء </t>
  </si>
  <si>
    <t>مالو/رياضيات</t>
  </si>
  <si>
    <t>دحدوح /عربية</t>
  </si>
  <si>
    <t>الاسم و اللقب</t>
  </si>
  <si>
    <t>حمادي سجود</t>
  </si>
  <si>
    <t>قلي محمد</t>
  </si>
  <si>
    <t>06 60704265</t>
  </si>
  <si>
    <t>BON12(10/09/2026)</t>
  </si>
  <si>
    <t>3حصص 900</t>
  </si>
  <si>
    <t>BON13 (10/09/2026)</t>
  </si>
  <si>
    <t>صنهاجي فادي</t>
  </si>
  <si>
    <t>06 60077300</t>
  </si>
  <si>
    <t>BON03(02/09/2026)</t>
  </si>
  <si>
    <t>ديلمي عماد الدين</t>
  </si>
  <si>
    <t xml:space="preserve">يزيد أسامة </t>
  </si>
  <si>
    <t>BON05(07/09/2026)</t>
  </si>
  <si>
    <t>يزيد أسامة</t>
  </si>
  <si>
    <t xml:space="preserve">لعلوي جاد </t>
  </si>
  <si>
    <t>06 61937467</t>
  </si>
  <si>
    <t>BON06 (08/09/2026)</t>
  </si>
  <si>
    <t>بن قلي اميرة لجين</t>
  </si>
  <si>
    <t>07 73545672</t>
  </si>
  <si>
    <t>BON08 (09/09/2026)</t>
  </si>
  <si>
    <t>حواس ريماس</t>
  </si>
  <si>
    <t>06 60378850</t>
  </si>
  <si>
    <t>BON09(10/09/2026)</t>
  </si>
  <si>
    <t>BON10 (10/09/2026)</t>
  </si>
  <si>
    <t>دباح لجين</t>
  </si>
  <si>
    <t>06 56556336</t>
  </si>
  <si>
    <t>BON11 (10/09/2026)</t>
  </si>
  <si>
    <t>حركات سراج</t>
  </si>
  <si>
    <t>BON02 (23/08/2026)</t>
  </si>
  <si>
    <t>BON04 (07/09/2026)</t>
  </si>
  <si>
    <t>بليلي ميار</t>
  </si>
  <si>
    <t>06 98461412</t>
  </si>
  <si>
    <t>BON59 (10/09/2026)</t>
  </si>
  <si>
    <t>BON15(06/09/2026)</t>
  </si>
  <si>
    <t>قاسمي رنيم</t>
  </si>
  <si>
    <t>06 56294981</t>
  </si>
  <si>
    <t>BON60 (10/09/2026)</t>
  </si>
  <si>
    <t>حمايزية فراس</t>
  </si>
  <si>
    <t>BON61 (11/08/2026)</t>
  </si>
  <si>
    <t xml:space="preserve">يخلف  اينجي </t>
  </si>
  <si>
    <t>05 41530702</t>
  </si>
  <si>
    <t>BON62 (11/09/2026)</t>
  </si>
  <si>
    <t>BON ECL104(31/08/2026)+BON63 (12/09/2026)</t>
  </si>
  <si>
    <t>BON 64(12/09/2026)</t>
  </si>
  <si>
    <t>BON 65(12/09/2026)</t>
  </si>
  <si>
    <t>هاشمي محمد</t>
  </si>
  <si>
    <t>BON14 (12/09/2026)</t>
  </si>
  <si>
    <t>BON11(10/09/2026)</t>
  </si>
  <si>
    <t>مادة 4 حقوق تسجيل مجانية</t>
  </si>
  <si>
    <t>شلبي عبد الحميد</t>
  </si>
  <si>
    <t>BON13 (12/09/2026)</t>
  </si>
  <si>
    <t>05 58560055/05 52684847</t>
  </si>
  <si>
    <t>عرافة رشا سعيدة</t>
  </si>
  <si>
    <t>05 59323725</t>
  </si>
  <si>
    <t>عرافةرشا سعيدة</t>
  </si>
  <si>
    <t xml:space="preserve">بلحي ريماس  </t>
  </si>
  <si>
    <t>BON15 (12/09/2026)</t>
  </si>
  <si>
    <t>تواتي معاد</t>
  </si>
  <si>
    <t>BON16 (12/09/2026)</t>
  </si>
  <si>
    <t>بركان بهاء الدين</t>
  </si>
  <si>
    <t>telephone</t>
  </si>
  <si>
    <t>05 56702236</t>
  </si>
  <si>
    <t>BON01 (31/08/2026)</t>
  </si>
  <si>
    <t xml:space="preserve">بيدي احمد </t>
  </si>
  <si>
    <t>06 57163791</t>
  </si>
  <si>
    <t>BON02 (31/08/2026)</t>
  </si>
  <si>
    <t>جاب الله ايمان</t>
  </si>
  <si>
    <t>07 77828115</t>
  </si>
  <si>
    <t>BON03 (03/09/2026)</t>
  </si>
  <si>
    <t>العزوني محمد وسيم</t>
  </si>
  <si>
    <t>BON04 (03/09/2026)</t>
  </si>
  <si>
    <t>رحيوي ياسمين</t>
  </si>
  <si>
    <t>BON05 (05/09/2026)</t>
  </si>
  <si>
    <t>نور الايمان رحماني</t>
  </si>
  <si>
    <t>BON06 (06/09/2026)</t>
  </si>
  <si>
    <t>معمري سيرين</t>
  </si>
  <si>
    <t>BON07 (06/09/2026)</t>
  </si>
  <si>
    <t xml:space="preserve">بوعكاز فراس </t>
  </si>
  <si>
    <t>07 83431174</t>
  </si>
  <si>
    <t>BON08 (06/09/2026)</t>
  </si>
  <si>
    <t>ماضي نور الدين</t>
  </si>
  <si>
    <t xml:space="preserve">07 79280364 </t>
  </si>
  <si>
    <t>BON09 (06/09/2026)</t>
  </si>
  <si>
    <t xml:space="preserve">عايب تقوى </t>
  </si>
  <si>
    <t>06 98 072304</t>
  </si>
  <si>
    <t>BON10 (06/09/2026)</t>
  </si>
  <si>
    <t xml:space="preserve">عايب ابتهال </t>
  </si>
  <si>
    <t>BON11 (06/09/2026)</t>
  </si>
  <si>
    <t xml:space="preserve">بوضرسة سلسبيل </t>
  </si>
  <si>
    <t>BON12 (06/09/2026)</t>
  </si>
  <si>
    <t>بن معاوية احمد</t>
  </si>
  <si>
    <t>07 94076024</t>
  </si>
  <si>
    <t>BON13 (06/09/2026)</t>
  </si>
  <si>
    <t xml:space="preserve">بن معاوية جنى </t>
  </si>
  <si>
    <t>BON14 (06/09/2026)</t>
  </si>
  <si>
    <t xml:space="preserve">سوفي يوسف </t>
  </si>
  <si>
    <t>06 62047194</t>
  </si>
  <si>
    <t>باحيطة رزان</t>
  </si>
  <si>
    <t>07 98941829</t>
  </si>
  <si>
    <t>BON16 (06/09/2026)</t>
  </si>
  <si>
    <t xml:space="preserve">فيلالي عبد المولى </t>
  </si>
  <si>
    <t>07 95585088</t>
  </si>
  <si>
    <t>BON17 (06/09/2026)</t>
  </si>
  <si>
    <t xml:space="preserve">فيلالي بلقيس </t>
  </si>
  <si>
    <t>BON18 (06/09/2026)</t>
  </si>
  <si>
    <t>جاب الله ادم</t>
  </si>
  <si>
    <t>BON19 (08/09/2026)</t>
  </si>
  <si>
    <t>بولمدايس اسيل</t>
  </si>
  <si>
    <t>06 57555404</t>
  </si>
  <si>
    <t>BON20 (08/09/2026)</t>
  </si>
  <si>
    <t xml:space="preserve">بن عثمان سراج </t>
  </si>
  <si>
    <t>05 42249678</t>
  </si>
  <si>
    <t>BON21 (08/09/2026)</t>
  </si>
  <si>
    <t>مطرفي اروى</t>
  </si>
  <si>
    <t>07 70926595</t>
  </si>
  <si>
    <t>BON22 (08/09/2026)</t>
  </si>
  <si>
    <t>قريش ميراس</t>
  </si>
  <si>
    <t>BON23 (08/09/2026)</t>
  </si>
  <si>
    <t>بو الودنين نظال</t>
  </si>
  <si>
    <t>بو الودنين محمد</t>
  </si>
  <si>
    <t>BON24 (10/09/2026)</t>
  </si>
  <si>
    <t>هاشمي فرح ريتاج</t>
  </si>
  <si>
    <t>BON25 (12/09/2026)</t>
  </si>
  <si>
    <t>05 52354958</t>
  </si>
  <si>
    <t>07 92034086</t>
  </si>
  <si>
    <t>07 81570121</t>
  </si>
  <si>
    <t>05 63148908</t>
  </si>
  <si>
    <t>06 98072304</t>
  </si>
  <si>
    <t>PROJECT NIV 01/   SEP -CEM</t>
  </si>
  <si>
    <t>intro NIV 01/   SEP-ADULTE</t>
  </si>
  <si>
    <t>05 64821321</t>
  </si>
  <si>
    <t>07 92777532</t>
  </si>
  <si>
    <t>07 97460083/06 70637797</t>
  </si>
  <si>
    <t>05 60156099</t>
  </si>
  <si>
    <t>07 92924416</t>
  </si>
  <si>
    <t>تبيب ملاك الرحمان</t>
  </si>
  <si>
    <t>06 70 10 46 18</t>
  </si>
  <si>
    <t>BON59/ECOLE (03/09/2026)</t>
  </si>
  <si>
    <t>ثعبان معاد</t>
  </si>
  <si>
    <t>05 56085670</t>
  </si>
  <si>
    <t>BON15 (13/09/2026)</t>
  </si>
  <si>
    <t>حصص 2 /600</t>
  </si>
  <si>
    <t>حقوق الشهر</t>
  </si>
  <si>
    <t>المستوى</t>
  </si>
  <si>
    <t>الأستاذ</t>
  </si>
  <si>
    <t>ملاحظة</t>
  </si>
  <si>
    <t>4AM</t>
  </si>
  <si>
    <t>3AS</t>
  </si>
  <si>
    <t>بن خير الدين ميس</t>
  </si>
  <si>
    <t>BON07 (09/09/2026)</t>
  </si>
  <si>
    <t>بن حراث</t>
  </si>
  <si>
    <t>05 50302803</t>
  </si>
  <si>
    <t>عزوزي بيلسان</t>
  </si>
  <si>
    <t>05 50535356</t>
  </si>
  <si>
    <t>BON12 (11/09/2026)</t>
  </si>
  <si>
    <t>حكوم هداية</t>
  </si>
  <si>
    <t>07 70313832/06 97854472</t>
  </si>
  <si>
    <t>BON17 (13/09/2026)</t>
  </si>
  <si>
    <t>BON57 (09/09/2026)</t>
  </si>
  <si>
    <t>حموي G2</t>
  </si>
  <si>
    <t>07 70143426</t>
  </si>
  <si>
    <t>زغليش شكيب أرسلان</t>
  </si>
  <si>
    <t>زغيلش شكيب ارسلان</t>
  </si>
  <si>
    <t>BON58 (09/09/2026)</t>
  </si>
  <si>
    <t xml:space="preserve">زهراوي </t>
  </si>
  <si>
    <t xml:space="preserve">عبعوب ملاك </t>
  </si>
  <si>
    <t>BON66 (12/09/2026)</t>
  </si>
  <si>
    <t>la date</t>
  </si>
  <si>
    <t>totale</t>
  </si>
  <si>
    <t>fi</t>
  </si>
  <si>
    <t>obs</t>
  </si>
  <si>
    <t>fiha amphi 11000(fi 1000)+ecole 16250 (fi 1750)</t>
  </si>
  <si>
    <t>وافق هيام</t>
  </si>
  <si>
    <t>2AS</t>
  </si>
  <si>
    <t>فلسفة</t>
  </si>
  <si>
    <t xml:space="preserve">صويلح ضحى </t>
  </si>
  <si>
    <t>حموي G1</t>
  </si>
  <si>
    <t>BON01 anex-amphi (06/09/2026)</t>
  </si>
  <si>
    <t>BON02 anex-amphi (06/09/2026)</t>
  </si>
  <si>
    <t>بن عطا الله لجين</t>
  </si>
  <si>
    <t>BON03 anex-amphi (06/09/2026)</t>
  </si>
  <si>
    <t>زهراوي2g</t>
  </si>
  <si>
    <t>يزيد لينا</t>
  </si>
  <si>
    <t>2as</t>
  </si>
  <si>
    <t>BON05 anex-amphi (10/09/2026)</t>
  </si>
  <si>
    <t>BON04 anex-amphi (07/09/2026)</t>
  </si>
  <si>
    <t>BON03 anex-amphi (07/09/2026)</t>
  </si>
  <si>
    <t>زهراوي 1g</t>
  </si>
  <si>
    <t>3AL</t>
  </si>
  <si>
    <t>معزة رمزي</t>
  </si>
  <si>
    <t>BON06 anex-amphi (11/09/2026)</t>
  </si>
  <si>
    <t>حموي G3</t>
  </si>
  <si>
    <t xml:space="preserve">شوقي رغد </t>
  </si>
  <si>
    <t>BON07 anex-amphi (13/09/2026)</t>
  </si>
  <si>
    <t>حملاوي امير معتز</t>
  </si>
  <si>
    <t>BON08 anex-amphi (13/09/2026)</t>
  </si>
  <si>
    <t>لكنز تسنيم</t>
  </si>
  <si>
    <t>BON09 anex-amphi (13/09/2026)</t>
  </si>
  <si>
    <t>مشري لجين</t>
  </si>
  <si>
    <t>BON10 anex-amphi (13/09/2026)</t>
  </si>
  <si>
    <t xml:space="preserve">حموي </t>
  </si>
  <si>
    <t>لخضاري لجين</t>
  </si>
  <si>
    <t>BON11 anex-amphi (14/09/2026)</t>
  </si>
  <si>
    <t>05 51280705</t>
  </si>
  <si>
    <t xml:space="preserve">بن سويبط ملاك </t>
  </si>
  <si>
    <t>BON12 anex-amphi (14/09/2026)</t>
  </si>
  <si>
    <t>3 AS</t>
  </si>
  <si>
    <t>زهراوي 2G</t>
  </si>
  <si>
    <t>07 73649934</t>
  </si>
  <si>
    <t>بوعناقة سيرين</t>
  </si>
  <si>
    <t>BON13 anex-amphi (14/09/2026)</t>
  </si>
  <si>
    <t>بوشامة سارة</t>
  </si>
  <si>
    <t>BON14 anex-amphi (14/09/2026)</t>
  </si>
  <si>
    <t>زهراوي علمي</t>
  </si>
  <si>
    <t>بومحراث إسحاق</t>
  </si>
  <si>
    <t>BON15 anex-amphi (15/09/2026)</t>
  </si>
  <si>
    <t>عيون سهى ملاك</t>
  </si>
  <si>
    <t>BON16 anex-amphi (15/09/2026)</t>
  </si>
  <si>
    <t>سعيودي معاذ</t>
  </si>
  <si>
    <t>BON17 anex-amphi (15/09/2026)</t>
  </si>
  <si>
    <t xml:space="preserve">مصباح مرام </t>
  </si>
  <si>
    <t>BON18 anex-amphi (15/09/2026)</t>
  </si>
  <si>
    <t>BON19 anex-amphi (15/09/2026)</t>
  </si>
  <si>
    <t>بارش بشرى</t>
  </si>
  <si>
    <t>BON20 anex-amphi (15/09/2026)</t>
  </si>
  <si>
    <t>ماي هبة الرحمان</t>
  </si>
  <si>
    <t>BON18 (14/09/2026)</t>
  </si>
  <si>
    <t>07 70573864</t>
  </si>
  <si>
    <t>مخبي ريم</t>
  </si>
  <si>
    <t>كحال/  رياضي</t>
  </si>
  <si>
    <t>BON 58/amphi(09/08/2026)</t>
  </si>
  <si>
    <t>06 96 90 07 56</t>
  </si>
  <si>
    <t>07 92 59 06 45</t>
  </si>
  <si>
    <t>BON63 (12/09/2026)</t>
  </si>
  <si>
    <t xml:space="preserve">علاء الدين قيلهمية </t>
  </si>
  <si>
    <t>05 54541689</t>
  </si>
  <si>
    <t>BON19 (14/09/2026)</t>
  </si>
  <si>
    <t>05 54 54 16 89</t>
  </si>
  <si>
    <t xml:space="preserve">بركات صهيب </t>
  </si>
  <si>
    <t>مشطري امجد</t>
  </si>
  <si>
    <t>BON21 (14/09/2026)</t>
  </si>
  <si>
    <t>BON 20(14/09/2026)</t>
  </si>
  <si>
    <t>BON21(14/09/2026)</t>
  </si>
  <si>
    <t>دغي وليد</t>
  </si>
  <si>
    <t>BON22 (15/09/2026)</t>
  </si>
  <si>
    <t xml:space="preserve">دغي وليد </t>
  </si>
  <si>
    <t>BON22 (14/09/2026)</t>
  </si>
  <si>
    <t>BON23 (15/09/2026)</t>
  </si>
  <si>
    <t xml:space="preserve">دكوش  روان </t>
  </si>
  <si>
    <t xml:space="preserve">عاشوري نجية </t>
  </si>
  <si>
    <t>BON25 (15/09/2026)</t>
  </si>
  <si>
    <t xml:space="preserve">زيبوش عبد الغفور </t>
  </si>
  <si>
    <t>BON26(15/09/2026)</t>
  </si>
  <si>
    <t>سطحي مريم</t>
  </si>
  <si>
    <t>BON27(16/09/2026)</t>
  </si>
  <si>
    <t>BON27 (16/09/2026)</t>
  </si>
  <si>
    <t>شوقي رغد مفيد</t>
  </si>
  <si>
    <t>05 51 23 20 84</t>
  </si>
  <si>
    <t>BON67 (13/09/2026)</t>
  </si>
  <si>
    <t xml:space="preserve">حيدوسي الاء </t>
  </si>
  <si>
    <t>BON68 (14/09/2026)</t>
  </si>
  <si>
    <t>بن شفرة دعاء</t>
  </si>
  <si>
    <t xml:space="preserve">بودان سلسبيل </t>
  </si>
  <si>
    <t>BON70 (14/09/2026)</t>
  </si>
  <si>
    <t>BON 71(14/09/2026)</t>
  </si>
  <si>
    <t>بن عيون ملاك</t>
  </si>
  <si>
    <t>BON72 (14/09/2026)</t>
  </si>
  <si>
    <t xml:space="preserve">بوشامة سارة </t>
  </si>
  <si>
    <t>BON73(14/09/2026)</t>
  </si>
  <si>
    <t>خاوة لجين</t>
  </si>
  <si>
    <t>BON74 (15/09/2026)</t>
  </si>
  <si>
    <t>عزيون اياد</t>
  </si>
  <si>
    <t>BON75(15/09/2026)</t>
  </si>
  <si>
    <t>BON99ecl (31/08/2026)</t>
  </si>
  <si>
    <t>BON100ecl (31/08/2026)</t>
  </si>
  <si>
    <t>معافي ملاك</t>
  </si>
  <si>
    <t>BON76(15/09/2026)</t>
  </si>
  <si>
    <t>عبيد جمانة</t>
  </si>
  <si>
    <t>BON77(15/09/2026)</t>
  </si>
  <si>
    <t xml:space="preserve">نوي لجين </t>
  </si>
  <si>
    <t>عربية /ميمون</t>
  </si>
  <si>
    <t>عزوزي أرسلان</t>
  </si>
  <si>
    <t>BON11(11/9/2026)</t>
  </si>
  <si>
    <t>بوخزر/ انجليزية</t>
  </si>
  <si>
    <t>لعروسي /فرنسية</t>
  </si>
  <si>
    <t>كنوة ميرال</t>
  </si>
  <si>
    <t>عيدوسي كريم</t>
  </si>
  <si>
    <t>BON03(17/9/2026)</t>
  </si>
  <si>
    <t>06 55310158/0698685053</t>
  </si>
  <si>
    <t>فوج 1</t>
  </si>
  <si>
    <t xml:space="preserve">فوج1 </t>
  </si>
  <si>
    <t>فوج2</t>
  </si>
  <si>
    <t>بوعبلو</t>
  </si>
  <si>
    <t>1500RMB/12250AMPHI-FI1750/FI ECL 250</t>
  </si>
  <si>
    <t>عميرش /رياضيات</t>
  </si>
  <si>
    <t>دغي وائل</t>
  </si>
  <si>
    <t>BON01(15/09/2026)</t>
  </si>
  <si>
    <t>مجانية</t>
  </si>
  <si>
    <t>فرنسية/بن عزوز</t>
  </si>
  <si>
    <t xml:space="preserve">علاء الدين ديلهمية </t>
  </si>
  <si>
    <t xml:space="preserve">amphi </t>
  </si>
  <si>
    <t xml:space="preserve">زيبوش اشواق </t>
  </si>
  <si>
    <t>BON21 anex-amphi (15/09/2026)</t>
  </si>
  <si>
    <t xml:space="preserve">طراد مريم </t>
  </si>
  <si>
    <t>BON26anex-amphi (16/09/2026)</t>
  </si>
  <si>
    <t xml:space="preserve">مجميع سندس </t>
  </si>
  <si>
    <t>BON27anex-amphi (16/09/2026)</t>
  </si>
  <si>
    <t>زهراوي 1G</t>
  </si>
  <si>
    <t xml:space="preserve">ديابي محمد </t>
  </si>
  <si>
    <t>BON28anex-amphi (16/09/2026)</t>
  </si>
  <si>
    <t>0558789432-</t>
  </si>
  <si>
    <t xml:space="preserve">بن عويرة مقيم </t>
  </si>
  <si>
    <t>BON29anex-amphi (16/09/2026)</t>
  </si>
  <si>
    <t xml:space="preserve">فرنسية /كحال ادبي </t>
  </si>
  <si>
    <t>ecole</t>
  </si>
  <si>
    <t>BON10 (12/09/2026)</t>
  </si>
  <si>
    <t xml:space="preserve">فيزياء </t>
  </si>
  <si>
    <t>0558560055/</t>
  </si>
  <si>
    <t xml:space="preserve">تواتي معاد </t>
  </si>
  <si>
    <t>BON11 (12/09/2026)</t>
  </si>
  <si>
    <t xml:space="preserve">ريام بلقاضي </t>
  </si>
  <si>
    <t>BON12 (12/09/2026)</t>
  </si>
  <si>
    <t xml:space="preserve">لخضاري لجين </t>
  </si>
  <si>
    <t xml:space="preserve">عمير </t>
  </si>
  <si>
    <t>0782239551-</t>
  </si>
  <si>
    <t xml:space="preserve">ندير  </t>
  </si>
  <si>
    <t xml:space="preserve">بلعكروم ملاك </t>
  </si>
  <si>
    <t>BON14 (14/09/2026)</t>
  </si>
  <si>
    <t xml:space="preserve">عمير /علوم </t>
  </si>
  <si>
    <t>0554541534-0560221281-</t>
  </si>
  <si>
    <t xml:space="preserve">بوعناقة سيرين </t>
  </si>
  <si>
    <t>BON15 (14/09/2026)</t>
  </si>
  <si>
    <t xml:space="preserve">كحال علوم </t>
  </si>
  <si>
    <t>0795581400-</t>
  </si>
  <si>
    <t xml:space="preserve">ندير </t>
  </si>
  <si>
    <t>BON16 (14/09/2026)</t>
  </si>
  <si>
    <t xml:space="preserve">بن يحيى </t>
  </si>
  <si>
    <t xml:space="preserve">عربية </t>
  </si>
  <si>
    <t xml:space="preserve">4am </t>
  </si>
  <si>
    <t xml:space="preserve">بوفنش بلقيس </t>
  </si>
  <si>
    <t>BON17 (14/09/2026)</t>
  </si>
  <si>
    <t xml:space="preserve">دراجي </t>
  </si>
  <si>
    <t>0553446270-</t>
  </si>
  <si>
    <t xml:space="preserve">لعكاشي ياسمين </t>
  </si>
  <si>
    <t>BON19 (16/09/2026)</t>
  </si>
  <si>
    <t>BON18 (15/09/2026)</t>
  </si>
  <si>
    <t xml:space="preserve">كينوة ميرال </t>
  </si>
  <si>
    <t>BON20 (16/09/2026)</t>
  </si>
  <si>
    <t>3am</t>
  </si>
  <si>
    <t xml:space="preserve">حراث </t>
  </si>
  <si>
    <t>01فوج</t>
  </si>
  <si>
    <t xml:space="preserve">نايلي يحيى اسلام </t>
  </si>
  <si>
    <t>BON21(17/09/2026)</t>
  </si>
  <si>
    <t>bon 29( 16/09/2026)</t>
  </si>
  <si>
    <t xml:space="preserve">المجموع </t>
  </si>
  <si>
    <t>fiha ecole 3750 (fi 750)+amphi 15250 ( fi 1250)</t>
  </si>
  <si>
    <r>
      <t>شهر سبتمبر 1</t>
    </r>
    <r>
      <rPr>
        <sz val="14"/>
        <color theme="1"/>
        <rFont val="Calibri"/>
        <family val="2"/>
      </rPr>
      <t>←17</t>
    </r>
    <r>
      <rPr>
        <sz val="16.8"/>
        <color theme="1"/>
        <rFont val="Arial"/>
        <family val="2"/>
      </rPr>
      <t xml:space="preserve">  anex </t>
    </r>
    <r>
      <rPr>
        <sz val="16.8"/>
        <color theme="1"/>
        <rFont val="Calibri"/>
        <family val="2"/>
      </rPr>
      <t>→ECOLE</t>
    </r>
    <r>
      <rPr>
        <sz val="16.8"/>
        <color theme="1"/>
        <rFont val="Arial"/>
        <family val="2"/>
      </rPr>
      <t xml:space="preserve">  </t>
    </r>
  </si>
  <si>
    <t>fiha ecole 1750 (fi 250)+amphi 3250 ( fi 250)</t>
  </si>
  <si>
    <t>BON 02(17/09/2026)</t>
  </si>
  <si>
    <t>BON 02(07/09/2026)</t>
  </si>
  <si>
    <t>يزيد خليل</t>
  </si>
  <si>
    <t>بومحراث جينان مارية</t>
  </si>
  <si>
    <t>BON 04(15/09/2026)</t>
  </si>
  <si>
    <t xml:space="preserve">بلزرق يوسف </t>
  </si>
  <si>
    <t>BON 05(15/09/2026)</t>
  </si>
  <si>
    <t>بوالحوت امجد</t>
  </si>
  <si>
    <t>BON 06(16/09/2026)</t>
  </si>
  <si>
    <t>بوالقرع ميلسا</t>
  </si>
  <si>
    <t>BON 07(18/09/2026)</t>
  </si>
  <si>
    <t>07 70340943/07 74717459</t>
  </si>
  <si>
    <t>BON 08(18/09/2026)</t>
  </si>
  <si>
    <t>BON 09(18/09/2026)</t>
  </si>
  <si>
    <t>BON 10(18/08/2026)</t>
  </si>
  <si>
    <t>BON 10(18/09/2026)</t>
  </si>
  <si>
    <t>BON11(18/09/2026)</t>
  </si>
  <si>
    <t>BON 11(18/09/2026)</t>
  </si>
  <si>
    <t>BON 12(18/09/2026)</t>
  </si>
  <si>
    <t>معمري ميسم</t>
  </si>
  <si>
    <t>BON13(18/09/2026)</t>
  </si>
  <si>
    <t>BON 13(18/09/2026)</t>
  </si>
  <si>
    <t>زغدود مبارك طهى</t>
  </si>
  <si>
    <t>06 70187705/06 58614129</t>
  </si>
  <si>
    <t>BON14(18/09/2026)</t>
  </si>
  <si>
    <t>BON 14(18/09/2026)</t>
  </si>
  <si>
    <t>بوتمرة نهال سيرين</t>
  </si>
  <si>
    <t>BON01amphi(12/09/2026)</t>
  </si>
  <si>
    <t>06 71757393/07 70740964</t>
  </si>
  <si>
    <t xml:space="preserve"> </t>
  </si>
  <si>
    <t>حيمد أمير</t>
  </si>
  <si>
    <t>BON 52/3as(07/09/2026)</t>
  </si>
  <si>
    <t>BON 53/3as(07/09/2026)</t>
  </si>
  <si>
    <t>BON 54/3as(07/09/2026)</t>
  </si>
  <si>
    <t>بغريش رفيدة</t>
  </si>
  <si>
    <t>BON79 (18/09/2026)</t>
  </si>
  <si>
    <t>07 82 74 77 12/06 60 76 07 21</t>
  </si>
  <si>
    <t>غربي قطر الندى</t>
  </si>
  <si>
    <t>BON80 (19/09/2026)</t>
  </si>
  <si>
    <t>BON 117/ecole(02/09/2026)</t>
  </si>
  <si>
    <t>BON 121/ecole(03/09/2026)</t>
  </si>
  <si>
    <t>bon 81( 19/09/2026)</t>
  </si>
  <si>
    <t>BON 69/ecole(19/08/2026)</t>
  </si>
  <si>
    <t>بوعبد الله سرين</t>
  </si>
  <si>
    <t>BON01/ecole (10/09/2026)</t>
  </si>
  <si>
    <t>لكنز لجين</t>
  </si>
  <si>
    <t>BON16(13/09/2026)</t>
  </si>
  <si>
    <t>دورات  ابتدائي</t>
  </si>
  <si>
    <t>bon 16( 13/09/2026)</t>
  </si>
  <si>
    <t>07 72 28 01 56/ 07 97 07 06 61</t>
  </si>
  <si>
    <t>06 55 31 01 58</t>
  </si>
  <si>
    <t>bon 03( 17/09/2026)</t>
  </si>
  <si>
    <t>BON21(18/09/2026)</t>
  </si>
  <si>
    <t>زردازي عبد الودود</t>
  </si>
  <si>
    <t>BON 01(19/09/2026)</t>
  </si>
  <si>
    <t>4ap</t>
  </si>
  <si>
    <t>bon 01( 19/09/2026)</t>
  </si>
  <si>
    <t>3ap</t>
  </si>
  <si>
    <t>bon 01( 15/09/2026)</t>
  </si>
  <si>
    <t>فهد آيت كالي</t>
  </si>
  <si>
    <t>BON28 (18/09/2026)</t>
  </si>
  <si>
    <r>
      <t>شهر سبتمبر 18</t>
    </r>
    <r>
      <rPr>
        <sz val="14"/>
        <color theme="1"/>
        <rFont val="Calibri"/>
        <family val="2"/>
      </rPr>
      <t>←24</t>
    </r>
    <r>
      <rPr>
        <sz val="16.8"/>
        <color theme="1"/>
        <rFont val="Arial"/>
        <family val="2"/>
      </rPr>
      <t xml:space="preserve">  anex </t>
    </r>
    <r>
      <rPr>
        <sz val="16.8"/>
        <color theme="1"/>
        <rFont val="Calibri"/>
        <family val="2"/>
      </rPr>
      <t>→ECOLE</t>
    </r>
    <r>
      <rPr>
        <sz val="16.8"/>
        <color theme="1"/>
        <rFont val="Arial"/>
        <family val="2"/>
      </rPr>
      <t xml:space="preserve">  </t>
    </r>
  </si>
  <si>
    <t>BON29 (18/09/2026)</t>
  </si>
  <si>
    <t>بن يحي</t>
  </si>
  <si>
    <t>BON30(19/09/2026)</t>
  </si>
  <si>
    <t>06 61786478</t>
  </si>
  <si>
    <t>BON82 (19/09/2026)</t>
  </si>
  <si>
    <t>خيثر امير</t>
  </si>
  <si>
    <t>05 60399708</t>
  </si>
  <si>
    <t>BON83(19/09/2026)</t>
  </si>
  <si>
    <t>حمادو علاوة</t>
  </si>
  <si>
    <t>07 97511735</t>
  </si>
  <si>
    <t>BON84 (19/09/2026)</t>
  </si>
  <si>
    <t>مروال تقي الدين</t>
  </si>
  <si>
    <t>07 81550271</t>
  </si>
  <si>
    <t>BON85 (19/09/2026)</t>
  </si>
  <si>
    <t>رضوان فلة سجود</t>
  </si>
  <si>
    <t>BON86(20/09/2026)</t>
  </si>
  <si>
    <t>05 54663250/05 59713487</t>
  </si>
  <si>
    <t>amphi(fi250/cours3000)</t>
  </si>
  <si>
    <t>BON87 (20/09/2026)</t>
  </si>
  <si>
    <t>امينة كريس</t>
  </si>
  <si>
    <t>BON88 (20/09/2026)</t>
  </si>
  <si>
    <t>بو الهوشات انيس</t>
  </si>
  <si>
    <r>
      <rPr>
        <sz val="18"/>
        <color theme="1"/>
        <rFont val="Calibri"/>
        <family val="2"/>
        <scheme val="minor"/>
      </rPr>
      <t>شهر سبتمبر 1</t>
    </r>
    <r>
      <rPr>
        <sz val="18"/>
        <color theme="1"/>
        <rFont val="Calibri"/>
        <family val="2"/>
      </rPr>
      <t>←16</t>
    </r>
    <r>
      <rPr>
        <sz val="18"/>
        <color theme="1"/>
        <rFont val="Arial"/>
        <family val="2"/>
      </rPr>
      <t xml:space="preserve">  anex </t>
    </r>
    <r>
      <rPr>
        <sz val="18"/>
        <color theme="1"/>
        <rFont val="Calibri"/>
        <family val="2"/>
      </rPr>
      <t>→amphi</t>
    </r>
    <r>
      <rPr>
        <sz val="16.8"/>
        <color theme="1"/>
        <rFont val="Arial"/>
        <family val="2"/>
      </rPr>
      <t xml:space="preserve">  </t>
    </r>
  </si>
  <si>
    <t>شهر سبتمبر 17←27  anex →amphi</t>
  </si>
  <si>
    <t>عيساني خديجة رتاج</t>
  </si>
  <si>
    <t>BON30 (17/09/2026)</t>
  </si>
  <si>
    <t>زهراوي</t>
  </si>
  <si>
    <t>شوفي لجين</t>
  </si>
  <si>
    <t>BON20 (20/09/2026)</t>
  </si>
  <si>
    <t xml:space="preserve">فهد ايت كاكي </t>
  </si>
  <si>
    <t>BON22 (18/09/2026)</t>
  </si>
  <si>
    <t xml:space="preserve">بن يحي </t>
  </si>
  <si>
    <t>G1</t>
  </si>
  <si>
    <t>ايت سعدي اماني</t>
  </si>
  <si>
    <t>BON21 (21/09/2026)</t>
  </si>
  <si>
    <t>COURS</t>
  </si>
  <si>
    <t>BON23 (21/09/2026)</t>
  </si>
  <si>
    <t>بن يحى</t>
  </si>
  <si>
    <t>بوعافية رقية</t>
  </si>
  <si>
    <t>BON24 (21/09/2026)</t>
  </si>
  <si>
    <t>لين شروانة</t>
  </si>
  <si>
    <t>BON25 (21/09/2026)</t>
  </si>
  <si>
    <t>لعرابة وسيم</t>
  </si>
  <si>
    <t>G2</t>
  </si>
  <si>
    <t>BON26(21/09/2026)</t>
  </si>
  <si>
    <t>BON26 (21/09/2026)</t>
  </si>
  <si>
    <t>BON4AM /29 (18/09/2026)</t>
  </si>
  <si>
    <t xml:space="preserve"> 3 AM</t>
  </si>
  <si>
    <t xml:space="preserve">ايت سعدي اماني </t>
  </si>
  <si>
    <t>06 61926583/05 56151131</t>
  </si>
  <si>
    <t>BON31(21/09/2026)</t>
  </si>
  <si>
    <t>05 60 04 69 35/05 60050270</t>
  </si>
  <si>
    <t>طيار/فيزياء</t>
  </si>
  <si>
    <t>عميرش/رياضيات</t>
  </si>
  <si>
    <t>بوخزر/انجليزية</t>
  </si>
  <si>
    <t>رياضيات/عميرش</t>
  </si>
  <si>
    <t>بن عزوز/فرنسية</t>
  </si>
  <si>
    <t>let's GO NIV 02/   Octobre-primaire</t>
  </si>
  <si>
    <t>intro NIV 02/   octobre-ADULTE</t>
  </si>
  <si>
    <t>PROJECT NIV 02/  octobre-CEM</t>
  </si>
  <si>
    <r>
      <t xml:space="preserve">niv </t>
    </r>
    <r>
      <rPr>
        <b/>
        <sz val="28"/>
        <color rgb="FFFF0000"/>
        <rFont val="Calibri"/>
        <family val="2"/>
        <scheme val="minor"/>
      </rPr>
      <t>02</t>
    </r>
    <r>
      <rPr>
        <b/>
        <sz val="28"/>
        <color theme="1"/>
        <rFont val="Calibri"/>
        <family val="2"/>
        <scheme val="minor"/>
      </rPr>
      <t>octobre</t>
    </r>
  </si>
  <si>
    <r>
      <t xml:space="preserve">niv </t>
    </r>
    <r>
      <rPr>
        <b/>
        <sz val="28"/>
        <color rgb="FFFF0000"/>
        <rFont val="Calibri"/>
        <family val="2"/>
        <scheme val="minor"/>
      </rPr>
      <t>03</t>
    </r>
    <r>
      <rPr>
        <b/>
        <sz val="28"/>
        <color theme="1"/>
        <rFont val="Calibri"/>
        <family val="2"/>
        <scheme val="minor"/>
      </rPr>
      <t>octobre</t>
    </r>
  </si>
  <si>
    <t xml:space="preserve">دبوح رنيم </t>
  </si>
  <si>
    <t>دبوح وردة</t>
  </si>
  <si>
    <t>05 60 017562</t>
  </si>
  <si>
    <t>6 60 017562</t>
  </si>
  <si>
    <r>
      <rPr>
        <b/>
        <sz val="48"/>
        <color rgb="FFFF0000"/>
        <rFont val="Calibri"/>
        <family val="2"/>
        <scheme val="minor"/>
      </rPr>
      <t>PROJECT</t>
    </r>
    <r>
      <rPr>
        <b/>
        <sz val="20"/>
        <color theme="1"/>
        <rFont val="Calibri"/>
        <family val="2"/>
        <scheme val="minor"/>
      </rPr>
      <t xml:space="preserve"> </t>
    </r>
    <r>
      <rPr>
        <b/>
        <sz val="24"/>
        <color theme="1"/>
        <rFont val="Calibri"/>
        <family val="2"/>
        <scheme val="minor"/>
      </rPr>
      <t>NIV</t>
    </r>
    <r>
      <rPr>
        <b/>
        <sz val="20"/>
        <color theme="1"/>
        <rFont val="Calibri"/>
        <family val="2"/>
        <scheme val="minor"/>
      </rPr>
      <t xml:space="preserve"> </t>
    </r>
    <r>
      <rPr>
        <b/>
        <sz val="20"/>
        <color rgb="FFFF0000"/>
        <rFont val="Calibri"/>
        <family val="2"/>
        <scheme val="minor"/>
      </rPr>
      <t>01</t>
    </r>
    <r>
      <rPr>
        <b/>
        <sz val="20"/>
        <color theme="1"/>
        <rFont val="Calibri"/>
        <family val="2"/>
        <scheme val="minor"/>
      </rPr>
      <t xml:space="preserve">/   </t>
    </r>
    <r>
      <rPr>
        <b/>
        <i/>
        <u/>
        <sz val="22"/>
        <color theme="1"/>
        <rFont val="Calibri"/>
        <family val="2"/>
        <scheme val="minor"/>
      </rPr>
      <t>SEP</t>
    </r>
    <r>
      <rPr>
        <b/>
        <sz val="20"/>
        <color theme="1"/>
        <rFont val="Calibri"/>
        <family val="2"/>
        <scheme val="minor"/>
      </rPr>
      <t xml:space="preserve"> -CEM </t>
    </r>
    <r>
      <rPr>
        <b/>
        <sz val="12"/>
        <color theme="1"/>
        <rFont val="Calibri"/>
        <family val="2"/>
        <scheme val="minor"/>
      </rPr>
      <t>(</t>
    </r>
    <r>
      <rPr>
        <b/>
        <u/>
        <sz val="12"/>
        <color theme="1"/>
        <rFont val="Calibri"/>
        <family val="2"/>
        <scheme val="minor"/>
      </rPr>
      <t>accélérer</t>
    </r>
    <r>
      <rPr>
        <b/>
        <sz val="12"/>
        <color theme="1"/>
        <rFont val="Calibri"/>
        <family val="2"/>
        <scheme val="minor"/>
      </rPr>
      <t>)</t>
    </r>
    <r>
      <rPr>
        <b/>
        <sz val="12"/>
        <color rgb="FFFF0000"/>
        <rFont val="Calibri"/>
        <family val="2"/>
        <scheme val="minor"/>
      </rPr>
      <t>2026-2027</t>
    </r>
  </si>
  <si>
    <r>
      <rPr>
        <b/>
        <sz val="26"/>
        <color rgb="FFFF0000"/>
        <rFont val="Calibri"/>
        <family val="2"/>
        <scheme val="minor"/>
      </rPr>
      <t>PROJECT</t>
    </r>
    <r>
      <rPr>
        <b/>
        <sz val="20"/>
        <color theme="1"/>
        <rFont val="Calibri"/>
        <family val="2"/>
        <scheme val="minor"/>
      </rPr>
      <t xml:space="preserve"> </t>
    </r>
    <r>
      <rPr>
        <b/>
        <sz val="24"/>
        <color theme="1"/>
        <rFont val="Calibri"/>
        <family val="2"/>
        <scheme val="minor"/>
      </rPr>
      <t>NIV</t>
    </r>
    <r>
      <rPr>
        <b/>
        <sz val="20"/>
        <color theme="1"/>
        <rFont val="Calibri"/>
        <family val="2"/>
        <scheme val="minor"/>
      </rPr>
      <t xml:space="preserve"> </t>
    </r>
    <r>
      <rPr>
        <b/>
        <sz val="20"/>
        <color rgb="FFFF0000"/>
        <rFont val="Calibri"/>
        <family val="2"/>
        <scheme val="minor"/>
      </rPr>
      <t>01</t>
    </r>
    <r>
      <rPr>
        <b/>
        <sz val="20"/>
        <color theme="1"/>
        <rFont val="Calibri"/>
        <family val="2"/>
        <scheme val="minor"/>
      </rPr>
      <t xml:space="preserve">/  </t>
    </r>
    <r>
      <rPr>
        <b/>
        <i/>
        <u/>
        <sz val="22"/>
        <color theme="1"/>
        <rFont val="Calibri"/>
        <family val="2"/>
        <scheme val="minor"/>
      </rPr>
      <t>octobre</t>
    </r>
    <r>
      <rPr>
        <b/>
        <sz val="20"/>
        <color theme="1"/>
        <rFont val="Calibri"/>
        <family val="2"/>
        <scheme val="minor"/>
      </rPr>
      <t xml:space="preserve"> -CEM</t>
    </r>
  </si>
  <si>
    <t>2026-2027</t>
  </si>
  <si>
    <t>سفير ادم</t>
  </si>
  <si>
    <t>06 64756126/06 99792237</t>
  </si>
  <si>
    <t>بوكرزازة محمد اسلام</t>
  </si>
  <si>
    <t>07 99856516/07 93599187</t>
  </si>
  <si>
    <t>BON33 (22/09/2026)</t>
  </si>
  <si>
    <t>BON035 (22/09/2026)</t>
  </si>
  <si>
    <t>BON34 (22/09/2026)</t>
  </si>
  <si>
    <t>BON034 (22/09/2026)</t>
  </si>
  <si>
    <t>بوعافي براء</t>
  </si>
  <si>
    <t>06 99753989</t>
  </si>
  <si>
    <t>BON 02(22/09/2026)</t>
  </si>
  <si>
    <t>بوعروج لؤي +محمد</t>
  </si>
  <si>
    <t>BON81(19/09/2026)</t>
  </si>
  <si>
    <t>250+250</t>
  </si>
  <si>
    <t>وجدان / لغات و فلسفة</t>
  </si>
  <si>
    <t>كريس امينة</t>
  </si>
  <si>
    <t>BON89(21/09/2026)</t>
  </si>
  <si>
    <t>BON78(15/09/2026)</t>
  </si>
  <si>
    <t>قروط علاء الدين</t>
  </si>
  <si>
    <t>BON90(21/09/2026)</t>
  </si>
  <si>
    <t>مخلوفي نذير</t>
  </si>
  <si>
    <t>BON91(21/09/2026)</t>
  </si>
  <si>
    <t>بلخامسة شيماء</t>
  </si>
  <si>
    <t>BON92(21/09/2026)</t>
  </si>
  <si>
    <t>بوخالفة اسراء</t>
  </si>
  <si>
    <t>BON93(21/09/2026)</t>
  </si>
  <si>
    <t xml:space="preserve">موسلي امياس </t>
  </si>
  <si>
    <t>BON44(05/09/2026)</t>
  </si>
  <si>
    <t>بوشوشة اسلام</t>
  </si>
  <si>
    <t>07 90274634/05 51276642</t>
  </si>
  <si>
    <t>BON36 (22/09/2026)</t>
  </si>
  <si>
    <t>BON35 (22/09/2026)</t>
  </si>
  <si>
    <t>عميرة خديجة</t>
  </si>
  <si>
    <t>شاقور ادم</t>
  </si>
  <si>
    <t>07 70816400/07 90779045</t>
  </si>
  <si>
    <t>بوطغان محمد</t>
  </si>
  <si>
    <t>06 61517892/06 98563456</t>
  </si>
  <si>
    <t>0661 427949</t>
  </si>
  <si>
    <t>06 98922262</t>
  </si>
  <si>
    <t>بورويس محمد اياد</t>
  </si>
  <si>
    <t>BON40 (24/09/2026)</t>
  </si>
  <si>
    <t>BON39 (24/09/2026)</t>
  </si>
  <si>
    <t>BON37 (24/09/2026)</t>
  </si>
  <si>
    <t>BON38 (24/09/2026)</t>
  </si>
  <si>
    <t>عبابسة معتز عبد الرحمان</t>
  </si>
  <si>
    <t>07 94448582</t>
  </si>
  <si>
    <t>BON41 (24/09/2026)</t>
  </si>
  <si>
    <t>BON+48(25/08/2026)</t>
  </si>
  <si>
    <t>بلخامسة حواء</t>
  </si>
  <si>
    <t>BON27(21/09/2026)</t>
  </si>
  <si>
    <t>ندير</t>
  </si>
  <si>
    <t>BON28(21/09/2026)</t>
  </si>
  <si>
    <t>بن ام الجاج يحى شمس الدين</t>
  </si>
  <si>
    <t>BON29(22/09/2026)</t>
  </si>
  <si>
    <t>بن طامة محمد</t>
  </si>
  <si>
    <t>BON30(22/09/2026)</t>
  </si>
  <si>
    <t>BON32 (21/09/2026)</t>
  </si>
  <si>
    <t>زهراوي1</t>
  </si>
  <si>
    <t>بن طوبال لؤي</t>
  </si>
  <si>
    <t>خرفوشي ع, المعز</t>
  </si>
  <si>
    <t>BON02 (07/09/2026)</t>
  </si>
  <si>
    <t>1500+1500</t>
  </si>
  <si>
    <t xml:space="preserve">بن يحى </t>
  </si>
  <si>
    <t>ميمون</t>
  </si>
  <si>
    <t>بيدي وصال أسماء</t>
  </si>
  <si>
    <t>06 59982612</t>
  </si>
  <si>
    <t xml:space="preserve">ساقي اشرف زكرياء </t>
  </si>
  <si>
    <t>BON106 (25/09/2026)</t>
  </si>
  <si>
    <t>طالبي محمد أيوب</t>
  </si>
  <si>
    <t>BON99 (25/09/2026)</t>
  </si>
  <si>
    <t>BON22(24/09/2026)</t>
  </si>
  <si>
    <t>BON24(22/09/2026)</t>
  </si>
  <si>
    <t>شرقي محمد رائد</t>
  </si>
  <si>
    <t>بوحلاس رحمة اميمة</t>
  </si>
  <si>
    <t>BON23(24/09/2026)</t>
  </si>
  <si>
    <t>جعطوط تسنيم</t>
  </si>
  <si>
    <t>BON 24(25/09/2026)</t>
  </si>
  <si>
    <t>BON02(22/092026)</t>
  </si>
  <si>
    <t>بن محمد ياسر</t>
  </si>
  <si>
    <t>BON 03(25/09/2026)</t>
  </si>
  <si>
    <t>BON04(25/092026)</t>
  </si>
  <si>
    <t>بن طامة يحى</t>
  </si>
  <si>
    <t>BON42 (24/09/2026)</t>
  </si>
  <si>
    <t>لعناني عبد النور</t>
  </si>
  <si>
    <t>BON43 (24/09/2026)</t>
  </si>
  <si>
    <t>قلقول</t>
  </si>
  <si>
    <t>خير الدين لجين</t>
  </si>
  <si>
    <t>BON44 (25/09/2026)</t>
  </si>
  <si>
    <t>BON 45(25/08/2026)</t>
  </si>
  <si>
    <t>BON 46(25/09/2026)</t>
  </si>
  <si>
    <t>BON46 (25/09/2026)</t>
  </si>
  <si>
    <t>BON47 (25/09/2026)</t>
  </si>
  <si>
    <t>ومان نيزار</t>
  </si>
  <si>
    <t>05 60908908</t>
  </si>
  <si>
    <t>BON 05(25/09/2026)</t>
  </si>
  <si>
    <t>بيدي ياسمين</t>
  </si>
  <si>
    <t>BON 04(21/09/2026)</t>
  </si>
  <si>
    <t>ربوح رنيم</t>
  </si>
  <si>
    <t>0560 01 75 82 / 0682 01 75 54</t>
  </si>
  <si>
    <t>صحراوي محمد</t>
  </si>
  <si>
    <t>مرابط فيلالي جنى</t>
  </si>
  <si>
    <t>بيدي يحي احمد</t>
  </si>
  <si>
    <t>BON 02(21/09/2026)</t>
  </si>
  <si>
    <t>BON 07(23/09/2026)</t>
  </si>
  <si>
    <t>BON 06(23/09/2026)</t>
  </si>
  <si>
    <t>BON 05(22/09/2026)</t>
  </si>
  <si>
    <t>BON 48(25/09/2026)</t>
  </si>
  <si>
    <t>لعور رفيق</t>
  </si>
  <si>
    <t>BON 49(25/09/2026)</t>
  </si>
  <si>
    <t>BON 35(25/09/2026)</t>
  </si>
  <si>
    <t>حموي</t>
  </si>
  <si>
    <t>0797 25 49 65</t>
  </si>
  <si>
    <t>عاشوري لميس</t>
  </si>
  <si>
    <t>BON 31(25/09/2026)</t>
  </si>
  <si>
    <t>2 ثانوي</t>
  </si>
  <si>
    <t>نذير</t>
  </si>
  <si>
    <t>جعوط لجين</t>
  </si>
  <si>
    <t>BON 26(25/09/2026)</t>
  </si>
  <si>
    <t>كحال /علوم فوج 2</t>
  </si>
  <si>
    <t>بن خديم محمد</t>
  </si>
  <si>
    <t>BON 94(22/09/2026)</t>
  </si>
  <si>
    <t>بن التين يوسف</t>
  </si>
  <si>
    <t>BON 96(24/09/2026)</t>
  </si>
  <si>
    <t>بولمناخر نوفل</t>
  </si>
  <si>
    <t>BON 97(24/09/2026)</t>
  </si>
  <si>
    <t>صويلح عبير</t>
  </si>
  <si>
    <t>BON 98(24/09/2026)</t>
  </si>
  <si>
    <t>BON 100(25/09/2026)</t>
  </si>
  <si>
    <t>BON 101(25/09/2026)</t>
  </si>
  <si>
    <t>BON 102(25/09/2026)</t>
  </si>
  <si>
    <t>BON 103(25/09/2026)</t>
  </si>
  <si>
    <t>BON 104(25/09/2026)</t>
  </si>
  <si>
    <t>BON 105(25/09/2026)</t>
  </si>
  <si>
    <t>BON 50(26/09/2026)</t>
  </si>
  <si>
    <t>بوستة اسراء لجين</t>
  </si>
  <si>
    <t>BON 51(26/09/2026)</t>
  </si>
  <si>
    <t>BON 52(26/09/2026)</t>
  </si>
  <si>
    <t>BON 53(26/09/2026)</t>
  </si>
  <si>
    <t>BON 54(26/09/2026)</t>
  </si>
  <si>
    <t>BON 55(26/09/2026)</t>
  </si>
  <si>
    <t>تليلي دعاء</t>
  </si>
  <si>
    <t>0791 44 05 20/0699 66 11 14</t>
  </si>
  <si>
    <t>BON 26(26/09/2026)</t>
  </si>
  <si>
    <t>عليوة فادي</t>
  </si>
  <si>
    <t>BON 27(26/09/2026)</t>
  </si>
  <si>
    <t>BON 56(26/09/2026)</t>
  </si>
  <si>
    <t>BON 57(26/09/2026)</t>
  </si>
  <si>
    <t>سالمي ندى</t>
  </si>
  <si>
    <t>0698 85 54 07</t>
  </si>
  <si>
    <t>BON 58(26/09/2026)</t>
  </si>
  <si>
    <t>بلخميس ميار</t>
  </si>
  <si>
    <t>0777 21 17 27</t>
  </si>
  <si>
    <t>BON 08(26/09/2026)</t>
  </si>
  <si>
    <t>BON 32(26/09/2026)</t>
  </si>
  <si>
    <t>نذير + علوم كحال</t>
  </si>
  <si>
    <t>0675 71 56 20/0552 30 84 59</t>
  </si>
  <si>
    <t>BON 33(26/09/2026)</t>
  </si>
  <si>
    <t>3 متوسط</t>
  </si>
  <si>
    <t>1 ثانوي</t>
  </si>
  <si>
    <t>BON 36(26/09/2026)</t>
  </si>
  <si>
    <t>سيمود محمد أنور</t>
  </si>
  <si>
    <t>0654 72 55 29/0661 32 55 32</t>
  </si>
  <si>
    <t>BON 107(26/09/2026)</t>
  </si>
  <si>
    <t>0656 49 84 95/0778 36 09 28</t>
  </si>
  <si>
    <t>BON 108(26/09/2026)</t>
  </si>
  <si>
    <t xml:space="preserve"> 2650+350</t>
  </si>
  <si>
    <t>BON87+109 (20+26/09/2026)</t>
  </si>
  <si>
    <t>BON 07+33(06/08/2026)+(04/09/2026)</t>
  </si>
  <si>
    <t>عرباوي عبد الرؤوف</t>
  </si>
  <si>
    <t>0556 29 83 21</t>
  </si>
  <si>
    <t>BON 110(26/09/2026)</t>
  </si>
  <si>
    <t>محفوف هيثم</t>
  </si>
  <si>
    <t>BON 111(26/09/2026)</t>
  </si>
  <si>
    <t>بن سديرة ريتاج</t>
  </si>
  <si>
    <t>BON 112(26/09/2026)</t>
  </si>
  <si>
    <t>حوي جابر نور الدين</t>
  </si>
  <si>
    <t>BON 113(26/09/2026)</t>
  </si>
  <si>
    <t>0770 21 27 22</t>
  </si>
  <si>
    <t>0676 09 02 97</t>
  </si>
  <si>
    <t>0659 89 04 73/0697 34 99 73</t>
  </si>
  <si>
    <t>BON+02(16/08/2026)</t>
  </si>
  <si>
    <t>كعبوش ايسال</t>
  </si>
  <si>
    <t>BON02(21/09/2026)</t>
  </si>
  <si>
    <t>BON 01(24/09/2026)</t>
  </si>
  <si>
    <t>عمير</t>
  </si>
  <si>
    <t>زهار اية الرحمان</t>
  </si>
  <si>
    <t xml:space="preserve">قلقول </t>
  </si>
  <si>
    <t>BON 2AS</t>
  </si>
  <si>
    <t>BON 02(24/09/2026)</t>
  </si>
  <si>
    <t>2AG</t>
  </si>
  <si>
    <t>BON 2AG ANNX</t>
  </si>
  <si>
    <t>فردي /رياضيات /علمي</t>
  </si>
  <si>
    <t>خنيو لجين</t>
  </si>
  <si>
    <t>بن يحى/فوج 01</t>
  </si>
  <si>
    <t>تيقرين ايلين</t>
  </si>
  <si>
    <t>BON09(27/09/2026)</t>
  </si>
  <si>
    <t>06 70131032/06 96693976</t>
  </si>
  <si>
    <t>BON02(27/09/2026)</t>
  </si>
  <si>
    <t>3AM</t>
  </si>
  <si>
    <t>جعوط تسنيم</t>
  </si>
  <si>
    <t>بوسالم اميمة</t>
  </si>
  <si>
    <t>0655 62 97 77/0542 28 06 36</t>
  </si>
  <si>
    <t>BON 114(27/09/2026)</t>
  </si>
  <si>
    <t>دنش رميساء</t>
  </si>
  <si>
    <t>BON 34(26/09/2026)</t>
  </si>
  <si>
    <t>0759 58 75 65</t>
  </si>
  <si>
    <t>BON 35(27/09/2026)</t>
  </si>
  <si>
    <t>بن شريف رستم</t>
  </si>
  <si>
    <t>BON 36(27/09/2026)</t>
  </si>
  <si>
    <t>علوم كحال</t>
  </si>
  <si>
    <t>0549 75 84 01/0560 95 59 81</t>
  </si>
  <si>
    <t>طبوش شهد</t>
  </si>
  <si>
    <t>BON 37(27/09/2026)</t>
  </si>
  <si>
    <t>بوعروج نسرين</t>
  </si>
  <si>
    <t>0774 02 51 83/0661 16 03 30</t>
  </si>
  <si>
    <t>BON 10(27/09/2026)</t>
  </si>
  <si>
    <t>فلياشي معتصم بالله</t>
  </si>
  <si>
    <t>3 ثانوي</t>
  </si>
  <si>
    <t>حموي فوج 3</t>
  </si>
  <si>
    <t>1500 تاع كتابات في نفس لبون</t>
  </si>
  <si>
    <t>بوعروج تسنيم</t>
  </si>
  <si>
    <t>BON 59(27/09/2026)</t>
  </si>
  <si>
    <t>BON 37(26/09/2026)</t>
  </si>
  <si>
    <t xml:space="preserve">bon ècole </t>
  </si>
  <si>
    <t>بن تونسي عبد المؤمن</t>
  </si>
  <si>
    <t>BON 38(28/09/2026)</t>
  </si>
  <si>
    <t xml:space="preserve">3al </t>
  </si>
  <si>
    <t>عراس صورية</t>
  </si>
  <si>
    <t>06 98259083/06 60324503</t>
  </si>
  <si>
    <t xml:space="preserve">بحري نورهان </t>
  </si>
  <si>
    <t>1AS</t>
  </si>
  <si>
    <t>06 61272819/05 58074551</t>
  </si>
  <si>
    <t>بلغيري كوثر</t>
  </si>
  <si>
    <t>BON02(28/09/2026)</t>
  </si>
  <si>
    <t>إسكندر هامل</t>
  </si>
  <si>
    <t>06 59144881</t>
  </si>
  <si>
    <t>BON60(28/09/2026)</t>
  </si>
  <si>
    <t>BON 39(28/09/2026)</t>
  </si>
  <si>
    <t>لعرابة</t>
  </si>
  <si>
    <t>05 50496712/05 57857159</t>
  </si>
  <si>
    <t>عياشي رؤى</t>
  </si>
  <si>
    <t>BON 40(28/09/2026)</t>
  </si>
  <si>
    <t>06 62655965</t>
  </si>
  <si>
    <t>BON 11(28/09/2026)</t>
  </si>
  <si>
    <t>intro NIV 01/   octobre-ADULTE</t>
  </si>
  <si>
    <t xml:space="preserve">مسالي يحى </t>
  </si>
  <si>
    <t>BON27(28/09/26)</t>
  </si>
  <si>
    <t>let's go NIV 01/   octobre-ADULTE</t>
  </si>
  <si>
    <t>650+650</t>
  </si>
  <si>
    <t>BON69+115 (14+28/09/2026)</t>
  </si>
  <si>
    <t>رحمون يقين</t>
  </si>
  <si>
    <t>BON116(29/09/2026)</t>
  </si>
  <si>
    <t xml:space="preserve">فراح تقوى  </t>
  </si>
  <si>
    <t>BON41(28//09/2026)</t>
  </si>
  <si>
    <t>سمية</t>
  </si>
  <si>
    <t>3al</t>
  </si>
  <si>
    <t>قرفة محمد ساجد</t>
  </si>
  <si>
    <t>BON 61(29/09/2026)</t>
  </si>
  <si>
    <t>بورنان ليان</t>
  </si>
  <si>
    <t>BON 62(29/09/2026)</t>
  </si>
  <si>
    <t>عمايري عبد المقيت</t>
  </si>
  <si>
    <t>BON03(29/09/2026)</t>
  </si>
  <si>
    <t>دنداني رؤيم</t>
  </si>
  <si>
    <t>BON04(29/09/2026)</t>
  </si>
  <si>
    <t>بن كحمان محمد امير</t>
  </si>
  <si>
    <t>دهيمي محمد</t>
  </si>
  <si>
    <t>سبتمبر/أكتوبر</t>
  </si>
  <si>
    <t>كيموش خديجة جود</t>
  </si>
  <si>
    <t>2AP</t>
  </si>
  <si>
    <t>رياضيات+عربية</t>
  </si>
  <si>
    <t xml:space="preserve">نموشي </t>
  </si>
  <si>
    <t>RMB BON05 (29/09/2026)</t>
  </si>
  <si>
    <t>بن حمودة رامي</t>
  </si>
  <si>
    <t>BON ECOLE 03(28/09/26)</t>
  </si>
  <si>
    <t>0793 96 33 66/0779 18 02 78</t>
  </si>
  <si>
    <t>0564 62 86 76/0794 49 36 01/0795 90 40 42</t>
  </si>
  <si>
    <t>0696 12 61 97/0555 43 77 57/0773 03 17 25</t>
  </si>
  <si>
    <t>0775 61 62 53/0553 03 23 36</t>
  </si>
  <si>
    <t>0797 76 36 79/0798 70 26 42</t>
  </si>
  <si>
    <t>0799 67 30 48/0658 19 38 68</t>
  </si>
  <si>
    <t>06 61 78 64 78/0790 69 60 84</t>
  </si>
  <si>
    <t>06 56351097/0698 70 05 85</t>
  </si>
  <si>
    <t>0555 10 00 40/0551 00 25 55</t>
  </si>
  <si>
    <t>0774 12 87 48</t>
  </si>
  <si>
    <t>0551 89 04 58/0659 36 93 67</t>
  </si>
  <si>
    <t>0798 68 53 22/0772 01 15 20</t>
  </si>
  <si>
    <t>0551 31 94 07/0554 32 35 36</t>
  </si>
  <si>
    <t>0560 95 19 98/0560 99 02 22</t>
  </si>
  <si>
    <t>0550 26 37 68/0551 22 31 06</t>
  </si>
  <si>
    <t>0560 04 23 72</t>
  </si>
  <si>
    <t>0550 70 80 02/0559 32 63 13</t>
  </si>
  <si>
    <t>0774 35 30 74/0554 31 47 67</t>
  </si>
  <si>
    <t>0774 69 25 69</t>
  </si>
  <si>
    <t>0798 48 73 78</t>
  </si>
  <si>
    <t>0779 62 60 05/0552 53 13 44</t>
  </si>
  <si>
    <t>0550 49 44 41/0659 82 07 35</t>
  </si>
  <si>
    <t>07 96 21 38 62/0696 07 09 43</t>
  </si>
  <si>
    <t>06 71 65 02 93/0657 51 34 70</t>
  </si>
  <si>
    <t>0792 78 94 37 / 0792 72 85 68</t>
  </si>
  <si>
    <t>0668 00 34 04/0558 23 34 62</t>
  </si>
  <si>
    <t>0661 45 14 96/0659 88 93 91</t>
  </si>
  <si>
    <t>0659 67 39 12</t>
  </si>
  <si>
    <t>0551 25 76 83</t>
  </si>
  <si>
    <t>0558 61 10 72/0553 69 06 85</t>
  </si>
  <si>
    <t>0550 53 53 56</t>
  </si>
  <si>
    <t>0771 86 85 25/0698 43 54 90</t>
  </si>
  <si>
    <t>06 59543584/0654 85 33 96</t>
  </si>
  <si>
    <t>0770 25 96 98/0770 25 97 10</t>
  </si>
  <si>
    <t>0656 35 33 46</t>
  </si>
  <si>
    <t>0774 02 73 73/0775 90 92 84</t>
  </si>
  <si>
    <t>0658 48 62 24/0657 71 30 18</t>
  </si>
  <si>
    <t>0550 46 75 00/0541 54 51 15</t>
  </si>
  <si>
    <t>0662 72 47 41/0674 41 64 38</t>
  </si>
  <si>
    <t>0541 41 12 27</t>
  </si>
  <si>
    <t>0774 02 51 83/0661 16 13 30</t>
  </si>
  <si>
    <t>0770 87 85 37</t>
  </si>
  <si>
    <t>0670 19 01 04</t>
  </si>
  <si>
    <t>0553 41 00 39/0557 83 78 45</t>
  </si>
  <si>
    <t>0661 63 83 59/0556 51 19 66</t>
  </si>
  <si>
    <t>0552 49 76 97/0779 86 04 38</t>
  </si>
  <si>
    <t>0657 54 21 81</t>
  </si>
  <si>
    <t>0773 34 89 98/0654 84 26 62</t>
  </si>
  <si>
    <t>0554 01 09 35/0550 96 92 60</t>
  </si>
  <si>
    <t>0656 25 12 40</t>
  </si>
  <si>
    <t>0776 62 30 59/0781 57 01 21</t>
  </si>
  <si>
    <t>0672 52 80 97</t>
  </si>
  <si>
    <t>0673 53 59 18/0668 25 72 81</t>
  </si>
  <si>
    <t>0659 17 24 43/0779 83 87 06</t>
  </si>
  <si>
    <t>0798 72 14 00/0782 86 30 88</t>
  </si>
  <si>
    <t>عوايجية وجيه</t>
  </si>
  <si>
    <t>0672 42 86 95</t>
  </si>
  <si>
    <t>BON05(29/09/26)</t>
  </si>
  <si>
    <t>0793 53 48 39/0793 79 67 67</t>
  </si>
  <si>
    <t>0549 58 24 03/0552 96 30 92</t>
  </si>
  <si>
    <t>0666 70 30 17/0660 06 99 11</t>
  </si>
  <si>
    <t>BON46(29//09/2026)</t>
  </si>
  <si>
    <t>bon 27( 26/09/2026)</t>
  </si>
  <si>
    <t xml:space="preserve">عمير  عبد المهيمن </t>
  </si>
  <si>
    <t>BON 28(29/09/2026)</t>
  </si>
  <si>
    <t xml:space="preserve">عمايري عبد المقيت </t>
  </si>
  <si>
    <t>BON42(29//09/2026)</t>
  </si>
  <si>
    <t xml:space="preserve">2AM </t>
  </si>
  <si>
    <t>مسعود بورغدة ادم</t>
  </si>
  <si>
    <t>BON43(29//09/2026)</t>
  </si>
  <si>
    <t xml:space="preserve">عوادي ميسم </t>
  </si>
  <si>
    <t>BON44(29//09/2026)</t>
  </si>
  <si>
    <t xml:space="preserve">طوال اياد </t>
  </si>
  <si>
    <t xml:space="preserve">كحال </t>
  </si>
  <si>
    <t>bon 46( 29/09/2026)</t>
  </si>
  <si>
    <t>حفناوي دينا</t>
  </si>
  <si>
    <t>0658 017005</t>
  </si>
  <si>
    <t>BON 63(30/09/2026)</t>
  </si>
  <si>
    <t>BON 63(30/09/26)</t>
  </si>
  <si>
    <t xml:space="preserve">حفناوي دينا </t>
  </si>
  <si>
    <t>BON 63(3/09/2026)</t>
  </si>
  <si>
    <t>زعتر جنى</t>
  </si>
  <si>
    <t>0795 731723</t>
  </si>
  <si>
    <t>BON06(30/09/26)</t>
  </si>
  <si>
    <t>مهدي  عبد الرؤوف</t>
  </si>
  <si>
    <t>0662 039739</t>
  </si>
  <si>
    <t>BON 64(30/09/2026)</t>
  </si>
  <si>
    <t>BON 64(30/09/26)</t>
  </si>
  <si>
    <t>bon 64( 30/09/2026)</t>
  </si>
  <si>
    <t>RMB</t>
  </si>
  <si>
    <t>كيحل ادم</t>
  </si>
  <si>
    <t>07 70340518/07 72575898</t>
  </si>
  <si>
    <t>BON13(01/10/2026)</t>
  </si>
  <si>
    <t>شمني هاديل</t>
  </si>
  <si>
    <t>05 41684205/06 97552963</t>
  </si>
  <si>
    <t>BON14(01/10/2026</t>
  </si>
  <si>
    <t>BON15(01/10/2026)</t>
  </si>
  <si>
    <t>شليغم ندى ياسمين</t>
  </si>
  <si>
    <t>06 61304097</t>
  </si>
  <si>
    <t>طير اسيل</t>
  </si>
  <si>
    <t>05 61612381</t>
  </si>
  <si>
    <t>زيتوني انفال</t>
  </si>
  <si>
    <t>06 63926032/07 94610661</t>
  </si>
  <si>
    <t>BON18(01/10/2026</t>
  </si>
  <si>
    <t>BON17(10/10/2026</t>
  </si>
  <si>
    <t>BON16(01/10/2026</t>
  </si>
  <si>
    <t>BON18(01/10/2027</t>
  </si>
  <si>
    <t>حيمد محمد مهدي</t>
  </si>
  <si>
    <t>07 70243227</t>
  </si>
  <si>
    <t>BON01(01/10/2026)</t>
  </si>
  <si>
    <t>مطلسي منيب</t>
  </si>
  <si>
    <t>07 76343188/06 65160490</t>
  </si>
  <si>
    <t>BON65 (01/10/2026)</t>
  </si>
  <si>
    <t>بن يحى محمد الصديق</t>
  </si>
  <si>
    <t>BON47(30/9/2026)</t>
  </si>
  <si>
    <t>1AL</t>
  </si>
  <si>
    <t>مجدوب</t>
  </si>
  <si>
    <t>BON48(01/10/2026)</t>
  </si>
  <si>
    <t>1AM</t>
  </si>
  <si>
    <t xml:space="preserve">ميمون </t>
  </si>
  <si>
    <t xml:space="preserve">بوتشيش محمد </t>
  </si>
  <si>
    <t>BON49(01/10/2026)</t>
  </si>
  <si>
    <t xml:space="preserve">3AM </t>
  </si>
  <si>
    <t xml:space="preserve">مروك زاهر +صالح </t>
  </si>
  <si>
    <t>BON50(01/10/2026)</t>
  </si>
  <si>
    <t xml:space="preserve">حركات جواد </t>
  </si>
  <si>
    <t>BON51(01/10/2026)</t>
  </si>
  <si>
    <t xml:space="preserve">1AM </t>
  </si>
  <si>
    <t xml:space="preserve">علي حيمود اية </t>
  </si>
  <si>
    <t>BON52(01/10/2026)</t>
  </si>
  <si>
    <t xml:space="preserve">بوتشيش راضي </t>
  </si>
  <si>
    <t>BON03(01/10/2026)</t>
  </si>
  <si>
    <t xml:space="preserve">2AG </t>
  </si>
  <si>
    <t xml:space="preserve">محاسبة </t>
  </si>
  <si>
    <t xml:space="preserve">عاشوري لميس </t>
  </si>
  <si>
    <t>BON 39(01/10/2026)</t>
  </si>
  <si>
    <t>خلفوشي عبد المعز</t>
  </si>
  <si>
    <t>BON40(01/10/2026)</t>
  </si>
  <si>
    <r>
      <rPr>
        <b/>
        <sz val="16"/>
        <color theme="1"/>
        <rFont val="Calibri"/>
        <family val="2"/>
        <scheme val="minor"/>
      </rPr>
      <t xml:space="preserve">let's GO NIV 01/   </t>
    </r>
    <r>
      <rPr>
        <b/>
        <sz val="16"/>
        <color rgb="FFFF0000"/>
        <rFont val="Calibri"/>
        <family val="2"/>
        <scheme val="minor"/>
      </rPr>
      <t>octobre</t>
    </r>
    <r>
      <rPr>
        <b/>
        <sz val="16"/>
        <color theme="1"/>
        <rFont val="Calibri"/>
        <family val="2"/>
        <scheme val="minor"/>
      </rPr>
      <t>-primaire</t>
    </r>
  </si>
  <si>
    <r>
      <t>let's GO NIV 01/</t>
    </r>
    <r>
      <rPr>
        <b/>
        <sz val="16"/>
        <color rgb="FFFF0000"/>
        <rFont val="Calibri"/>
        <family val="2"/>
        <scheme val="minor"/>
      </rPr>
      <t xml:space="preserve">   SEP</t>
    </r>
    <r>
      <rPr>
        <b/>
        <sz val="16"/>
        <color theme="1"/>
        <rFont val="Calibri"/>
        <family val="2"/>
        <scheme val="minor"/>
      </rPr>
      <t>-primaire</t>
    </r>
  </si>
  <si>
    <t>BON35(02/10/2026)</t>
  </si>
  <si>
    <t>07 71333936</t>
  </si>
  <si>
    <t>قشي نور اليقين 3ap</t>
  </si>
  <si>
    <t xml:space="preserve">بيلسان جودي زينب </t>
  </si>
  <si>
    <t>05 58338815</t>
  </si>
  <si>
    <t>BON33(02/10/26)</t>
  </si>
  <si>
    <t>شكيرد جيهان</t>
  </si>
  <si>
    <t>06 66850397</t>
  </si>
  <si>
    <t>BON34(02/10/26)</t>
  </si>
  <si>
    <t>versement2500</t>
  </si>
  <si>
    <t>تليلي محمد</t>
  </si>
  <si>
    <t>06 99661114</t>
  </si>
  <si>
    <t>BON31(02/10/26)</t>
  </si>
  <si>
    <t>BON29(01/10/26)</t>
  </si>
  <si>
    <t>let's GO NIV 03/   Octobre-primaire</t>
  </si>
  <si>
    <t>let's GO NIV 04/   Octobre-primaire</t>
  </si>
  <si>
    <t>عموش سارة</t>
  </si>
  <si>
    <t>06 67088897</t>
  </si>
  <si>
    <t>نموشي جنى مريم</t>
  </si>
  <si>
    <t>06 55275154</t>
  </si>
  <si>
    <t>BON39(02/10/2026)</t>
  </si>
  <si>
    <t>vrsmt2000</t>
  </si>
  <si>
    <t>BON37(02/10/2026)</t>
  </si>
  <si>
    <t>BON28(30/09/2026)</t>
  </si>
  <si>
    <t>عوين نهى</t>
  </si>
  <si>
    <t xml:space="preserve">عبدو نبيل </t>
  </si>
  <si>
    <t>BON02(03/10/2026)</t>
  </si>
  <si>
    <t>رياضيات</t>
  </si>
  <si>
    <t>عميرش</t>
  </si>
  <si>
    <t>عمراني ريتاج</t>
  </si>
  <si>
    <t>BON66(01/10/2026)</t>
  </si>
  <si>
    <t>نايلي يحي اسلام</t>
  </si>
  <si>
    <t>BON67(2/10/2026)</t>
  </si>
  <si>
    <t>بولحية محمد سراج</t>
  </si>
  <si>
    <t>BON68 (02/10/2026)</t>
  </si>
  <si>
    <t>لطرش ميرال</t>
  </si>
  <si>
    <t>BON69 (02/10/2026)</t>
  </si>
  <si>
    <t>بوعزيزي عبد العزيز</t>
  </si>
  <si>
    <t>BON70 (02/10/2026)</t>
  </si>
  <si>
    <t>شايب جاسر</t>
  </si>
  <si>
    <t>BON71(02/10/2026)</t>
  </si>
  <si>
    <t>بخة ملاك</t>
  </si>
  <si>
    <t>BON72(02/10/2026)</t>
  </si>
  <si>
    <t>بو عبد الله سيرين</t>
  </si>
  <si>
    <t>BON73(02/10/2026)</t>
  </si>
  <si>
    <t>حريش نزيم</t>
  </si>
  <si>
    <t>BON74(02/10/2026)</t>
  </si>
  <si>
    <t>بولحبال ركان</t>
  </si>
  <si>
    <t>BON75(02/10/2026)</t>
  </si>
  <si>
    <t xml:space="preserve">حركات سراج </t>
  </si>
  <si>
    <t>BON76(02/10/2026)</t>
  </si>
  <si>
    <t>BON77(03/10/2026)</t>
  </si>
  <si>
    <t>BON78(03/10/2026)</t>
  </si>
  <si>
    <t>دمدوم اروى</t>
  </si>
  <si>
    <t>بن هلال عبد الرحمان</t>
  </si>
  <si>
    <t>BON 19(03/10/2026)</t>
  </si>
  <si>
    <t>سبتي امين</t>
  </si>
  <si>
    <t>BON 20(03/10/2026)</t>
  </si>
  <si>
    <t>مروك زاهر + صالح</t>
  </si>
  <si>
    <t>BON 21(03/10/2026)</t>
  </si>
  <si>
    <t>قاولي ندى</t>
  </si>
  <si>
    <t>BON 22(03/10/2026)</t>
  </si>
  <si>
    <t>بوالعشب تسنيم</t>
  </si>
  <si>
    <t>BON 79(03/10/2026)</t>
  </si>
  <si>
    <t>زواقي رنيم</t>
  </si>
  <si>
    <t>BON 80(03/10/2026)</t>
  </si>
  <si>
    <t>بوالمعالي اية</t>
  </si>
  <si>
    <t>BON 81(03/10/2026)</t>
  </si>
  <si>
    <t>بومنجل اريج</t>
  </si>
  <si>
    <t>BON 82(03/10/2026)</t>
  </si>
  <si>
    <t>طلحي نزيم</t>
  </si>
  <si>
    <t>BON 84(03/10/2026)</t>
  </si>
  <si>
    <t>محيدب محمد تيم</t>
  </si>
  <si>
    <t>BON 85(03/10/2026)</t>
  </si>
  <si>
    <t>BON 86(03/10/2026)</t>
  </si>
  <si>
    <t>زغاد عبد الكريم</t>
  </si>
  <si>
    <t>BON 87(03/10/2026)</t>
  </si>
  <si>
    <t>بوجردة اكرام</t>
  </si>
  <si>
    <t>BON 88(03/10/2026)</t>
  </si>
  <si>
    <t>BON 117(02/10/2026)</t>
  </si>
  <si>
    <t>BON 118(02/10/2026)</t>
  </si>
  <si>
    <t>BON 119(02/10/2026)</t>
  </si>
  <si>
    <t>BON 120(02/10/2026)</t>
  </si>
  <si>
    <t>BON 121(02/10/2026)</t>
  </si>
  <si>
    <t>BON 122(02/10/2026)</t>
  </si>
  <si>
    <t>واعمر مي</t>
  </si>
  <si>
    <t>BON 123(02/10/2026)</t>
  </si>
  <si>
    <t>BON 124(02/10/2026)</t>
  </si>
  <si>
    <t>BON 125(02/10/2026)</t>
  </si>
  <si>
    <t>بولحبال رزان + امة الله</t>
  </si>
  <si>
    <t>BON 126(02/10/2026)</t>
  </si>
  <si>
    <t>BON 127(02/10/2026)</t>
  </si>
  <si>
    <t>طبيش الاء</t>
  </si>
  <si>
    <t>BON 128(02/10/2026)</t>
  </si>
  <si>
    <t>BON 129(02/10/2026)</t>
  </si>
  <si>
    <t>BON 130(02/10/2026)</t>
  </si>
  <si>
    <t>BON 131(03/10/2026)</t>
  </si>
  <si>
    <t>شايب سلسبيل</t>
  </si>
  <si>
    <t>BON 132(03/10/2026)</t>
  </si>
  <si>
    <t>BON 133(03/10/2026)</t>
  </si>
  <si>
    <t>دولة انس نجم الدين</t>
  </si>
  <si>
    <t>BON 03(02/10/2026)</t>
  </si>
  <si>
    <t>بوفندي محمد الإسلام</t>
  </si>
  <si>
    <t>BON 04(02/10/2026)</t>
  </si>
  <si>
    <t>نموشي مريم جنى</t>
  </si>
  <si>
    <t>BON 06(30/09/2026)</t>
  </si>
  <si>
    <t>BON 07(02/10/2026)</t>
  </si>
  <si>
    <t>بن فطيمة يحي وليد</t>
  </si>
  <si>
    <t>BON 08(02/10/2026)</t>
  </si>
  <si>
    <t>فيلالي جوري أسماء</t>
  </si>
  <si>
    <t>BON 09(02/10/2026)</t>
  </si>
  <si>
    <t>غراب ياسمين</t>
  </si>
  <si>
    <t>BON 10(02/10/2026)</t>
  </si>
  <si>
    <t>عبد الرزاق اسلام</t>
  </si>
  <si>
    <t>BON 29(02/10/2026)</t>
  </si>
  <si>
    <t>محتوم جود</t>
  </si>
  <si>
    <t>BON 30(02/10/2026)</t>
  </si>
  <si>
    <t>BON 31(02/10/2026)</t>
  </si>
  <si>
    <t>لبيض اياد</t>
  </si>
  <si>
    <t>BON 32(02/10/2026)</t>
  </si>
  <si>
    <t>بوديدة عبد السلام</t>
  </si>
  <si>
    <t>BON 33(02/10/2026)</t>
  </si>
  <si>
    <t>BON 34(02/10/2026)</t>
  </si>
  <si>
    <t>BON 35(02/10/2026)</t>
  </si>
  <si>
    <t>شريبي لجين</t>
  </si>
  <si>
    <t>BON 36(03/10/2026)</t>
  </si>
  <si>
    <t>لبيض اياد امجد</t>
  </si>
  <si>
    <t>كحال /علوم01</t>
  </si>
  <si>
    <t>قسيمة ايناس</t>
  </si>
  <si>
    <t>BON02ECL (26/09/2026)</t>
  </si>
  <si>
    <t>BON02 ECL (26/09/2026)</t>
  </si>
  <si>
    <t>BON 04ECL (29/09/2026)</t>
  </si>
  <si>
    <t>BON05ECL (29/09/2026)</t>
  </si>
  <si>
    <t>BON40(02/10/2026)</t>
  </si>
  <si>
    <r>
      <t xml:space="preserve">niv </t>
    </r>
    <r>
      <rPr>
        <b/>
        <sz val="28"/>
        <color rgb="FFFF0000"/>
        <rFont val="Calibri"/>
        <family val="2"/>
        <scheme val="minor"/>
      </rPr>
      <t>04</t>
    </r>
    <r>
      <rPr>
        <b/>
        <sz val="28"/>
        <color theme="1"/>
        <rFont val="Calibri"/>
        <family val="2"/>
        <scheme val="minor"/>
      </rPr>
      <t>octobre</t>
    </r>
  </si>
  <si>
    <t>خزار محمد</t>
  </si>
  <si>
    <t>07 99706205</t>
  </si>
  <si>
    <t>BON41(02/10/2026)</t>
  </si>
  <si>
    <t>خزار  احمد</t>
  </si>
  <si>
    <t>7 99706205</t>
  </si>
  <si>
    <t>BON42(02/10/2026)</t>
  </si>
  <si>
    <t>بلحي ليليان</t>
  </si>
  <si>
    <t>05 58108528</t>
  </si>
  <si>
    <t>BON43(02/10/2026)</t>
  </si>
  <si>
    <t>بوكبوس ايلين</t>
  </si>
  <si>
    <t>06 72262514</t>
  </si>
  <si>
    <t>BON44 (02/10/2026)</t>
  </si>
  <si>
    <t xml:space="preserve">العمري محمد الشريف </t>
  </si>
  <si>
    <t>06 61172251</t>
  </si>
  <si>
    <t>BON45 (02/10/2026)</t>
  </si>
  <si>
    <t>ديابي يوسف</t>
  </si>
  <si>
    <t>07 95936957/07 91672521</t>
  </si>
  <si>
    <t>BON46 (02/10/2026)</t>
  </si>
  <si>
    <t>بوزقة اياد</t>
  </si>
  <si>
    <t>06 99966183</t>
  </si>
  <si>
    <t>BON47(02/10/2026)</t>
  </si>
  <si>
    <t xml:space="preserve">شريبي نورسين </t>
  </si>
  <si>
    <t>BON48(03/10/26)</t>
  </si>
  <si>
    <t>شريبي رسيم</t>
  </si>
  <si>
    <t>بوالقرون ركان</t>
  </si>
  <si>
    <t>05 55918731</t>
  </si>
  <si>
    <t>BON50(3/10/26)</t>
  </si>
  <si>
    <t>BON51 (03/10/2026)</t>
  </si>
  <si>
    <t>بوكليوة نائل احمد</t>
  </si>
  <si>
    <t>07 93454656/07 97353092</t>
  </si>
  <si>
    <t>BON52(3/10/2026)</t>
  </si>
  <si>
    <t xml:space="preserve">تليلي دعاء </t>
  </si>
  <si>
    <t>BON37(4/10/2026)</t>
  </si>
  <si>
    <t>BON 38(04/10/2026)</t>
  </si>
  <si>
    <t>مروك ادم</t>
  </si>
  <si>
    <t>BON39(4/10/2026)</t>
  </si>
  <si>
    <t xml:space="preserve">جبلي معاد </t>
  </si>
  <si>
    <t>BON 23(04/10/2026)</t>
  </si>
  <si>
    <t>مصطالجي الاء نور الهدى</t>
  </si>
  <si>
    <t>بن يحى  + ميمون</t>
  </si>
  <si>
    <t>لبعيلي محمد فراس</t>
  </si>
  <si>
    <t>طلحي وسيم</t>
  </si>
  <si>
    <t>BON53(03/10/2026)</t>
  </si>
  <si>
    <t>مقلاتي العكي قصي</t>
  </si>
  <si>
    <t>BON54(03/10/2026)</t>
  </si>
  <si>
    <t>1as</t>
  </si>
  <si>
    <t>عمير +ندير</t>
  </si>
  <si>
    <t>خرشي حبيب الله</t>
  </si>
  <si>
    <t>BON55(05/10/2026)</t>
  </si>
  <si>
    <r>
      <t>شهر سبتمبر 24</t>
    </r>
    <r>
      <rPr>
        <sz val="14"/>
        <color theme="1"/>
        <rFont val="Calibri"/>
        <family val="2"/>
      </rPr>
      <t>←07</t>
    </r>
    <r>
      <rPr>
        <sz val="16.8"/>
        <color theme="1"/>
        <rFont val="Arial"/>
        <family val="2"/>
      </rPr>
      <t xml:space="preserve">  anex </t>
    </r>
    <r>
      <rPr>
        <sz val="16.8"/>
        <color theme="1"/>
        <rFont val="Calibri"/>
        <family val="2"/>
      </rPr>
      <t>→ECOLE</t>
    </r>
    <r>
      <rPr>
        <sz val="16.8"/>
        <color theme="1"/>
        <rFont val="Arial"/>
        <family val="2"/>
      </rPr>
      <t xml:space="preserve">  </t>
    </r>
  </si>
  <si>
    <t>TOTAL 55400 DA</t>
  </si>
  <si>
    <r>
      <t>شهر سبتمبر 24←07اوكتوبر</t>
    </r>
    <r>
      <rPr>
        <sz val="17"/>
        <color rgb="FF000000"/>
        <rFont val="Arial"/>
        <family val="2"/>
      </rPr>
      <t xml:space="preserve">  </t>
    </r>
  </si>
  <si>
    <r>
      <t xml:space="preserve">anex </t>
    </r>
    <r>
      <rPr>
        <sz val="17"/>
        <color rgb="FF000000"/>
        <rFont val="Calibri"/>
        <family val="2"/>
        <scheme val="minor"/>
      </rPr>
      <t>→ECOLE</t>
    </r>
    <r>
      <rPr>
        <sz val="17"/>
        <color rgb="FF000000"/>
        <rFont val="Arial"/>
        <family val="2"/>
      </rPr>
      <t xml:space="preserve">  </t>
    </r>
  </si>
  <si>
    <t>1 al</t>
  </si>
  <si>
    <t>مجذوب</t>
  </si>
  <si>
    <t>BON 56  /6/10/26</t>
  </si>
  <si>
    <t>BON56(06/10/2026)</t>
  </si>
  <si>
    <t>ماي هبة تارحمان</t>
  </si>
  <si>
    <t>Bon 57(6/10/2026)</t>
  </si>
  <si>
    <t>Bon 58(6/10/2026)</t>
  </si>
  <si>
    <t>صناح قودة رفيف</t>
  </si>
  <si>
    <t>Bon 60(6/10/2026)</t>
  </si>
  <si>
    <t>حراث</t>
  </si>
  <si>
    <t>BON 41(03/10/2026)</t>
  </si>
  <si>
    <t>لحرش روان</t>
  </si>
  <si>
    <t>BON 42(06/10/2026)</t>
  </si>
  <si>
    <t>دراجي</t>
  </si>
  <si>
    <t>شكيرد محمد</t>
  </si>
  <si>
    <r>
      <t xml:space="preserve">شوقيات </t>
    </r>
    <r>
      <rPr>
        <sz val="18"/>
        <color theme="1"/>
        <rFont val="Calibri"/>
        <family val="2"/>
        <scheme val="minor"/>
      </rPr>
      <t>محمد</t>
    </r>
    <r>
      <rPr>
        <sz val="12"/>
        <color theme="1"/>
        <rFont val="Calibri"/>
        <family val="2"/>
        <scheme val="minor"/>
      </rPr>
      <t xml:space="preserve"> زبن الدين</t>
    </r>
  </si>
  <si>
    <t>BON 44(06/10/2026)</t>
  </si>
  <si>
    <t>BON07(06/10/2026)</t>
  </si>
  <si>
    <t>ميمون/عربية</t>
  </si>
  <si>
    <t>حمدان عبد السلام</t>
  </si>
  <si>
    <t>BON08(06/10/2026)</t>
  </si>
  <si>
    <t>خيمخم ميار</t>
  </si>
  <si>
    <t>BON09(06/10/2026)</t>
  </si>
  <si>
    <t>دكومي سلسبيل</t>
  </si>
  <si>
    <t>BON10(06/10/2026)</t>
  </si>
  <si>
    <t>BON11(06/10/2026)</t>
  </si>
  <si>
    <t>طويجين وسيم</t>
  </si>
  <si>
    <t>BON89(06/10/2026)</t>
  </si>
  <si>
    <t>علوي لينا ميار</t>
  </si>
  <si>
    <t>BON90(06/10/2026)</t>
  </si>
  <si>
    <t>زعرور حنين</t>
  </si>
  <si>
    <t>BON91(06/10/2026)</t>
  </si>
  <si>
    <t>BON92(06/10/2026)</t>
  </si>
  <si>
    <t>عيساوي معاذ</t>
  </si>
  <si>
    <t>BON94(06/10/2026)</t>
  </si>
  <si>
    <t>3000+6000</t>
  </si>
  <si>
    <t>BON03(29+06/09+10/2026)</t>
  </si>
  <si>
    <t>BON93(06/10/2026)</t>
  </si>
  <si>
    <t>بن ساعد ميسون</t>
  </si>
  <si>
    <t>BON95(06/10/2026)</t>
  </si>
  <si>
    <t>مرابط سندس</t>
  </si>
  <si>
    <t>BON96(06/10/2026)</t>
  </si>
  <si>
    <t>سيوان ساجد</t>
  </si>
  <si>
    <t>BON97(06/10/2026)</t>
  </si>
  <si>
    <t>دباش ادم</t>
  </si>
  <si>
    <t>BON98(06/10/2026)</t>
  </si>
  <si>
    <t>BON99(06/10/2026)</t>
  </si>
  <si>
    <t>لمويسي ايناس</t>
  </si>
  <si>
    <t>BON24(06/10/2026)</t>
  </si>
  <si>
    <t>براهيمي محمد أرسلان</t>
  </si>
  <si>
    <t>BON25(06/10/2026)</t>
  </si>
  <si>
    <t>قسامة فاطمة</t>
  </si>
  <si>
    <t>BON26(06/10/2026)</t>
  </si>
  <si>
    <t>فلياشي مناف</t>
  </si>
  <si>
    <t>BON27(06/10/2026)</t>
  </si>
  <si>
    <t>مروك زاهر</t>
  </si>
  <si>
    <t>مروك صالح</t>
  </si>
  <si>
    <t>BON28(06/10/2026)</t>
  </si>
  <si>
    <t>بوشاقور نوراي</t>
  </si>
  <si>
    <t>BON29(06/10/2026)</t>
  </si>
  <si>
    <t>بن هلال ياسمين</t>
  </si>
  <si>
    <t>BON02(06/10/2026)</t>
  </si>
  <si>
    <t>BON03(06/10/2026)</t>
  </si>
  <si>
    <t>حركاتي جواد</t>
  </si>
  <si>
    <t>BON04(06/10/2026)</t>
  </si>
  <si>
    <t>عمراني اياد</t>
  </si>
  <si>
    <t>BON134(05/10/2026)</t>
  </si>
  <si>
    <t xml:space="preserve"> 2000+500</t>
  </si>
  <si>
    <t>BON51+135(07+05/09+10/2026)</t>
  </si>
  <si>
    <t>BON135(05/10/2026)</t>
  </si>
  <si>
    <t>بادر اكرام</t>
  </si>
  <si>
    <t>BON136(05/10/2026)</t>
  </si>
  <si>
    <t>BON137(05/10/2026)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</si>
</sst>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4" x14ac:knownFonts="1">
    <font>
      <sz val="11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 Light"/>
      <family val="1"/>
      <scheme val="major"/>
    </font>
    <font>
      <b/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2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 Light"/>
      <family val="1"/>
      <scheme val="major"/>
    </font>
    <font>
      <sz val="11"/>
      <color theme="1"/>
      <name val="Calibri Light"/>
      <family val="1"/>
      <scheme val="maj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4"/>
      <color theme="1"/>
      <name val="Calibri"/>
      <family val="2"/>
    </font>
    <font>
      <sz val="16.8"/>
      <color theme="1"/>
      <name val="Arial"/>
      <family val="2"/>
    </font>
    <font>
      <sz val="16.8"/>
      <color theme="1"/>
      <name val="Calibri"/>
      <family val="2"/>
    </font>
    <font>
      <b/>
      <sz val="14"/>
      <color theme="1"/>
      <name val="Calibri"/>
      <family val="2"/>
      <scheme val="minor"/>
    </font>
    <font>
      <b/>
      <i/>
      <sz val="16"/>
      <color theme="0"/>
      <name val="Calibri"/>
      <family val="2"/>
      <scheme val="minor"/>
    </font>
    <font>
      <b/>
      <i/>
      <sz val="20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8"/>
      <color theme="1"/>
      <name val="Calibri"/>
      <family val="2"/>
    </font>
    <font>
      <sz val="18"/>
      <color theme="1"/>
      <name val="Arial"/>
      <family val="2"/>
    </font>
    <font>
      <b/>
      <sz val="20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28"/>
      <color rgb="FFFF000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48"/>
      <color rgb="FFFF0000"/>
      <name val="Calibri"/>
      <family val="2"/>
      <scheme val="minor"/>
    </font>
    <font>
      <b/>
      <i/>
      <u/>
      <sz val="2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2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4"/>
      <color rgb="FF000000"/>
      <name val="Calibri"/>
      <family val="2"/>
      <scheme val="minor"/>
    </font>
    <font>
      <sz val="17"/>
      <color rgb="FF000000"/>
      <name val="Arial"/>
      <family val="2"/>
    </font>
    <font>
      <sz val="17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color theme="1"/>
      <name val="Times New Roman"/>
      <family val="1"/>
    </font>
    <font>
      <b/>
      <sz val="12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6"/>
      <color rgb="FF000000"/>
      <name val="Calibri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65911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medium">
        <color indexed="64"/>
      </right>
      <top/>
      <bottom style="medium">
        <color rgb="FF000000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/>
      <top style="medium">
        <color rgb="FF000000"/>
      </top>
      <bottom/>
      <diagonal/>
    </border>
    <border>
      <left/>
      <right style="medium">
        <color indexed="64"/>
      </right>
      <top style="medium">
        <color rgb="FF000000"/>
      </top>
      <bottom/>
      <diagonal/>
    </border>
  </borders>
  <cellStyleXfs count="1">
    <xf numFmtId="0" fontId="0" fillId="0" borderId="0"/>
  </cellStyleXfs>
  <cellXfs count="452">
    <xf numFmtId="0" fontId="0" fillId="0" borderId="0" xfId="0"/>
    <xf numFmtId="0" fontId="2" fillId="0" borderId="7" xfId="0" applyFont="1" applyBorder="1"/>
    <xf numFmtId="0" fontId="0" fillId="0" borderId="7" xfId="0" applyBorder="1" applyAlignment="1">
      <alignment horizontal="center" vertical="center"/>
    </xf>
    <xf numFmtId="0" fontId="0" fillId="0" borderId="7" xfId="0" applyBorder="1"/>
    <xf numFmtId="0" fontId="3" fillId="0" borderId="7" xfId="0" applyFont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vertic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 vertical="center" textRotation="180"/>
    </xf>
    <xf numFmtId="0" fontId="0" fillId="0" borderId="13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8" fillId="4" borderId="7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0" fillId="4" borderId="7" xfId="0" applyFill="1" applyBorder="1"/>
    <xf numFmtId="0" fontId="2" fillId="0" borderId="7" xfId="0" applyFont="1" applyBorder="1" applyAlignment="1">
      <alignment horizontal="center"/>
    </xf>
    <xf numFmtId="0" fontId="2" fillId="8" borderId="7" xfId="0" applyFont="1" applyFill="1" applyBorder="1" applyAlignment="1">
      <alignment horizontal="center" vertical="center"/>
    </xf>
    <xf numFmtId="0" fontId="0" fillId="8" borderId="8" xfId="0" applyFill="1" applyBorder="1" applyAlignment="1">
      <alignment horizontal="center" vertical="center"/>
    </xf>
    <xf numFmtId="0" fontId="0" fillId="8" borderId="9" xfId="0" applyFill="1" applyBorder="1" applyAlignment="1">
      <alignment horizontal="center" vertical="center"/>
    </xf>
    <xf numFmtId="0" fontId="2" fillId="5" borderId="7" xfId="0" applyFont="1" applyFill="1" applyBorder="1"/>
    <xf numFmtId="0" fontId="2" fillId="7" borderId="7" xfId="0" applyFont="1" applyFill="1" applyBorder="1" applyAlignment="1">
      <alignment horizontal="center" vertical="center"/>
    </xf>
    <xf numFmtId="0" fontId="2" fillId="7" borderId="7" xfId="0" applyFont="1" applyFill="1" applyBorder="1"/>
    <xf numFmtId="0" fontId="2" fillId="6" borderId="7" xfId="0" applyFont="1" applyFill="1" applyBorder="1"/>
    <xf numFmtId="0" fontId="11" fillId="2" borderId="7" xfId="0" applyFont="1" applyFill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14" fillId="2" borderId="7" xfId="0" applyFont="1" applyFill="1" applyBorder="1" applyAlignment="1">
      <alignment horizontal="center" vertical="center"/>
    </xf>
    <xf numFmtId="0" fontId="3" fillId="7" borderId="7" xfId="0" applyFont="1" applyFill="1" applyBorder="1" applyAlignment="1">
      <alignment horizontal="center" vertical="center"/>
    </xf>
    <xf numFmtId="0" fontId="4" fillId="7" borderId="7" xfId="0" applyFont="1" applyFill="1" applyBorder="1" applyAlignment="1">
      <alignment horizontal="center" vertical="center"/>
    </xf>
    <xf numFmtId="0" fontId="5" fillId="7" borderId="7" xfId="0" applyFont="1" applyFill="1" applyBorder="1" applyAlignment="1">
      <alignment horizontal="center" vertical="center"/>
    </xf>
    <xf numFmtId="0" fontId="0" fillId="9" borderId="7" xfId="0" applyFill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20" fillId="11" borderId="7" xfId="0" applyFont="1" applyFill="1" applyBorder="1" applyAlignment="1">
      <alignment horizontal="center" vertical="center"/>
    </xf>
    <xf numFmtId="0" fontId="21" fillId="0" borderId="7" xfId="0" applyFont="1" applyBorder="1" applyAlignment="1">
      <alignment horizontal="center"/>
    </xf>
    <xf numFmtId="0" fontId="11" fillId="0" borderId="7" xfId="0" applyFont="1" applyBorder="1" applyAlignment="1">
      <alignment horizontal="center" vertical="center"/>
    </xf>
    <xf numFmtId="0" fontId="0" fillId="12" borderId="7" xfId="0" applyFill="1" applyBorder="1" applyAlignment="1">
      <alignment horizontal="center" vertical="center"/>
    </xf>
    <xf numFmtId="0" fontId="11" fillId="2" borderId="8" xfId="0" applyFont="1" applyFill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11" fillId="0" borderId="0" xfId="0" applyFont="1"/>
    <xf numFmtId="0" fontId="1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2" borderId="7" xfId="0" applyFont="1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0" fontId="19" fillId="0" borderId="9" xfId="0" applyFont="1" applyBorder="1" applyAlignment="1">
      <alignment horizontal="center" vertical="center"/>
    </xf>
    <xf numFmtId="0" fontId="0" fillId="2" borderId="0" xfId="0" applyFill="1"/>
    <xf numFmtId="0" fontId="11" fillId="0" borderId="20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31" fillId="0" borderId="7" xfId="0" applyFont="1" applyBorder="1" applyAlignment="1">
      <alignment horizontal="center"/>
    </xf>
    <xf numFmtId="0" fontId="3" fillId="2" borderId="7" xfId="0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/>
    </xf>
    <xf numFmtId="0" fontId="2" fillId="18" borderId="7" xfId="0" applyFont="1" applyFill="1" applyBorder="1" applyAlignment="1">
      <alignment horizontal="center" vertical="center"/>
    </xf>
    <xf numFmtId="0" fontId="2" fillId="16" borderId="7" xfId="0" applyFont="1" applyFill="1" applyBorder="1"/>
    <xf numFmtId="0" fontId="2" fillId="14" borderId="7" xfId="0" applyFont="1" applyFill="1" applyBorder="1"/>
    <xf numFmtId="0" fontId="2" fillId="11" borderId="7" xfId="0" applyFont="1" applyFill="1" applyBorder="1"/>
    <xf numFmtId="0" fontId="2" fillId="19" borderId="7" xfId="0" applyFont="1" applyFill="1" applyBorder="1" applyAlignment="1">
      <alignment horizontal="center" vertical="center"/>
    </xf>
    <xf numFmtId="0" fontId="2" fillId="20" borderId="7" xfId="0" applyFont="1" applyFill="1" applyBorder="1"/>
    <xf numFmtId="0" fontId="19" fillId="0" borderId="7" xfId="0" applyFont="1" applyBorder="1" applyAlignment="1">
      <alignment horizontal="center" vertical="center"/>
    </xf>
    <xf numFmtId="0" fontId="11" fillId="2" borderId="13" xfId="0" applyFont="1" applyFill="1" applyBorder="1" applyAlignment="1">
      <alignment horizontal="center" vertical="center"/>
    </xf>
    <xf numFmtId="0" fontId="19" fillId="2" borderId="13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41" fillId="0" borderId="7" xfId="0" applyFont="1" applyBorder="1" applyAlignment="1">
      <alignment horizontal="center" vertical="center" readingOrder="1"/>
    </xf>
    <xf numFmtId="0" fontId="42" fillId="0" borderId="7" xfId="0" applyFont="1" applyBorder="1" applyAlignment="1">
      <alignment horizontal="center" vertical="center" readingOrder="1"/>
    </xf>
    <xf numFmtId="0" fontId="11" fillId="0" borderId="10" xfId="0" applyFont="1" applyBorder="1" applyAlignment="1">
      <alignment horizontal="center" vertical="center"/>
    </xf>
    <xf numFmtId="0" fontId="10" fillId="2" borderId="9" xfId="0" applyFont="1" applyFill="1" applyBorder="1" applyAlignment="1">
      <alignment horizontal="center" vertical="center"/>
    </xf>
    <xf numFmtId="0" fontId="10" fillId="2" borderId="7" xfId="0" applyFont="1" applyFill="1" applyBorder="1" applyAlignment="1">
      <alignment horizontal="center" vertical="center"/>
    </xf>
    <xf numFmtId="0" fontId="2" fillId="20" borderId="7" xfId="0" applyFont="1" applyFill="1" applyBorder="1" applyAlignment="1">
      <alignment horizontal="center" vertical="center"/>
    </xf>
    <xf numFmtId="0" fontId="41" fillId="22" borderId="7" xfId="0" applyFont="1" applyFill="1" applyBorder="1" applyAlignment="1">
      <alignment horizontal="center" vertical="center" readingOrder="1"/>
    </xf>
    <xf numFmtId="0" fontId="24" fillId="2" borderId="7" xfId="0" applyFont="1" applyFill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9" fillId="12" borderId="7" xfId="0" applyFont="1" applyFill="1" applyBorder="1" applyAlignment="1">
      <alignment horizontal="center" vertical="center"/>
    </xf>
    <xf numFmtId="0" fontId="19" fillId="4" borderId="7" xfId="0" applyFont="1" applyFill="1" applyBorder="1" applyAlignment="1">
      <alignment horizontal="center" vertical="center"/>
    </xf>
    <xf numFmtId="0" fontId="19" fillId="2" borderId="7" xfId="0" applyFont="1" applyFill="1" applyBorder="1" applyAlignment="1">
      <alignment horizontal="center" vertical="center"/>
    </xf>
    <xf numFmtId="0" fontId="11" fillId="4" borderId="8" xfId="0" applyFont="1" applyFill="1" applyBorder="1" applyAlignment="1">
      <alignment horizontal="center" vertical="center"/>
    </xf>
    <xf numFmtId="0" fontId="11" fillId="4" borderId="9" xfId="0" applyFont="1" applyFill="1" applyBorder="1" applyAlignment="1">
      <alignment horizontal="center" vertical="center"/>
    </xf>
    <xf numFmtId="0" fontId="41" fillId="12" borderId="7" xfId="0" applyFont="1" applyFill="1" applyBorder="1" applyAlignment="1">
      <alignment horizontal="center" vertical="center" readingOrder="1"/>
    </xf>
    <xf numFmtId="0" fontId="0" fillId="23" borderId="7" xfId="0" applyFill="1" applyBorder="1" applyAlignment="1">
      <alignment horizontal="center" vertical="center"/>
    </xf>
    <xf numFmtId="0" fontId="0" fillId="18" borderId="8" xfId="0" applyFill="1" applyBorder="1" applyAlignment="1">
      <alignment horizontal="center" vertical="center"/>
    </xf>
    <xf numFmtId="0" fontId="0" fillId="18" borderId="9" xfId="0" applyFill="1" applyBorder="1" applyAlignment="1">
      <alignment horizontal="center" vertical="center"/>
    </xf>
    <xf numFmtId="0" fontId="2" fillId="11" borderId="7" xfId="0" applyFont="1" applyFill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45" fillId="24" borderId="21" xfId="0" applyFont="1" applyFill="1" applyBorder="1" applyAlignment="1">
      <alignment horizontal="center" vertical="center" readingOrder="2"/>
    </xf>
    <xf numFmtId="0" fontId="46" fillId="24" borderId="22" xfId="0" applyFont="1" applyFill="1" applyBorder="1" applyAlignment="1">
      <alignment horizontal="center" vertical="center" readingOrder="2"/>
    </xf>
    <xf numFmtId="0" fontId="0" fillId="24" borderId="23" xfId="0" applyFill="1" applyBorder="1" applyAlignment="1">
      <alignment vertical="center" wrapText="1"/>
    </xf>
    <xf numFmtId="0" fontId="0" fillId="0" borderId="23" xfId="0" applyBorder="1"/>
    <xf numFmtId="0" fontId="0" fillId="0" borderId="24" xfId="0" applyBorder="1"/>
    <xf numFmtId="0" fontId="0" fillId="24" borderId="25" xfId="0" applyFill="1" applyBorder="1"/>
    <xf numFmtId="0" fontId="0" fillId="24" borderId="25" xfId="0" applyFill="1" applyBorder="1" applyAlignment="1">
      <alignment vertical="center" wrapText="1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vertical="center" wrapText="1"/>
    </xf>
    <xf numFmtId="0" fontId="45" fillId="0" borderId="0" xfId="0" applyFont="1" applyAlignment="1">
      <alignment horizontal="center" vertical="center" readingOrder="2"/>
    </xf>
    <xf numFmtId="0" fontId="45" fillId="0" borderId="15" xfId="0" applyFont="1" applyBorder="1" applyAlignment="1">
      <alignment horizontal="center" vertical="center" readingOrder="2"/>
    </xf>
    <xf numFmtId="0" fontId="45" fillId="0" borderId="17" xfId="0" applyFont="1" applyBorder="1" applyAlignment="1">
      <alignment horizontal="center" vertical="center" readingOrder="2"/>
    </xf>
    <xf numFmtId="0" fontId="48" fillId="0" borderId="0" xfId="0" applyFont="1" applyAlignment="1">
      <alignment horizontal="center" vertical="center" readingOrder="2"/>
    </xf>
    <xf numFmtId="0" fontId="45" fillId="0" borderId="27" xfId="0" applyFont="1" applyBorder="1" applyAlignment="1">
      <alignment horizontal="center" vertical="center" readingOrder="2"/>
    </xf>
    <xf numFmtId="0" fontId="49" fillId="0" borderId="20" xfId="0" applyFont="1" applyBorder="1" applyAlignment="1">
      <alignment horizontal="center" vertical="center" readingOrder="2"/>
    </xf>
    <xf numFmtId="0" fontId="50" fillId="0" borderId="0" xfId="0" applyFont="1" applyAlignment="1">
      <alignment horizontal="right" vertical="center" wrapText="1" readingOrder="2"/>
    </xf>
    <xf numFmtId="0" fontId="42" fillId="25" borderId="29" xfId="0" applyFont="1" applyFill="1" applyBorder="1" applyAlignment="1">
      <alignment horizontal="center" vertical="center"/>
    </xf>
    <xf numFmtId="0" fontId="45" fillId="25" borderId="16" xfId="0" applyFont="1" applyFill="1" applyBorder="1" applyAlignment="1">
      <alignment horizontal="center" vertical="center" readingOrder="2"/>
    </xf>
    <xf numFmtId="0" fontId="42" fillId="25" borderId="20" xfId="0" applyFont="1" applyFill="1" applyBorder="1" applyAlignment="1">
      <alignment horizontal="center" vertical="center"/>
    </xf>
    <xf numFmtId="0" fontId="42" fillId="0" borderId="20" xfId="0" applyFont="1" applyBorder="1" applyAlignment="1">
      <alignment horizontal="center" vertical="center"/>
    </xf>
    <xf numFmtId="0" fontId="45" fillId="0" borderId="0" xfId="0" applyFont="1" applyAlignment="1">
      <alignment horizontal="center" vertical="center"/>
    </xf>
    <xf numFmtId="0" fontId="41" fillId="25" borderId="20" xfId="0" applyFont="1" applyFill="1" applyBorder="1" applyAlignment="1">
      <alignment horizontal="center" vertical="center"/>
    </xf>
    <xf numFmtId="0" fontId="42" fillId="26" borderId="20" xfId="0" applyFont="1" applyFill="1" applyBorder="1" applyAlignment="1">
      <alignment horizontal="center" vertical="center"/>
    </xf>
    <xf numFmtId="0" fontId="53" fillId="25" borderId="16" xfId="0" applyFont="1" applyFill="1" applyBorder="1" applyAlignment="1">
      <alignment horizontal="center" vertical="center" readingOrder="2"/>
    </xf>
    <xf numFmtId="0" fontId="41" fillId="0" borderId="17" xfId="0" applyFont="1" applyBorder="1" applyAlignment="1">
      <alignment horizontal="center" vertical="center"/>
    </xf>
    <xf numFmtId="0" fontId="41" fillId="0" borderId="20" xfId="0" applyFont="1" applyBorder="1" applyAlignment="1">
      <alignment horizontal="center" vertical="center"/>
    </xf>
    <xf numFmtId="0" fontId="53" fillId="25" borderId="16" xfId="0" applyFont="1" applyFill="1" applyBorder="1" applyAlignment="1">
      <alignment horizontal="right" vertical="center" readingOrder="2"/>
    </xf>
    <xf numFmtId="0" fontId="0" fillId="25" borderId="16" xfId="0" applyFill="1" applyBorder="1" applyAlignment="1">
      <alignment vertical="center"/>
    </xf>
    <xf numFmtId="0" fontId="0" fillId="25" borderId="28" xfId="0" applyFill="1" applyBorder="1" applyAlignment="1">
      <alignment vertical="center"/>
    </xf>
    <xf numFmtId="0" fontId="42" fillId="0" borderId="17" xfId="0" applyFont="1" applyBorder="1" applyAlignment="1">
      <alignment horizontal="center" vertical="center"/>
    </xf>
    <xf numFmtId="0" fontId="42" fillId="0" borderId="17" xfId="0" applyFont="1" applyBorder="1" applyAlignment="1">
      <alignment vertical="center"/>
    </xf>
    <xf numFmtId="0" fontId="0" fillId="0" borderId="30" xfId="0" applyBorder="1" applyAlignment="1">
      <alignment vertical="center"/>
    </xf>
    <xf numFmtId="0" fontId="42" fillId="0" borderId="20" xfId="0" applyFont="1" applyBorder="1" applyAlignment="1">
      <alignment horizontal="center" vertical="center" readingOrder="2"/>
    </xf>
    <xf numFmtId="0" fontId="51" fillId="0" borderId="7" xfId="0" applyFont="1" applyBorder="1" applyAlignment="1">
      <alignment horizontal="center" vertical="center"/>
    </xf>
    <xf numFmtId="0" fontId="49" fillId="0" borderId="7" xfId="0" applyFont="1" applyBorder="1" applyAlignment="1">
      <alignment horizontal="center" vertical="center"/>
    </xf>
    <xf numFmtId="0" fontId="52" fillId="0" borderId="7" xfId="0" applyFont="1" applyBorder="1" applyAlignment="1">
      <alignment horizontal="center" vertical="center"/>
    </xf>
    <xf numFmtId="0" fontId="52" fillId="25" borderId="7" xfId="0" applyFont="1" applyFill="1" applyBorder="1" applyAlignment="1">
      <alignment horizontal="center" vertical="center" readingOrder="2"/>
    </xf>
    <xf numFmtId="0" fontId="41" fillId="9" borderId="17" xfId="0" applyFont="1" applyFill="1" applyBorder="1" applyAlignment="1">
      <alignment horizontal="center" vertical="center"/>
    </xf>
    <xf numFmtId="0" fontId="41" fillId="2" borderId="1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vertical="center"/>
    </xf>
    <xf numFmtId="0" fontId="9" fillId="2" borderId="9" xfId="0" applyFont="1" applyFill="1" applyBorder="1" applyAlignment="1">
      <alignment vertical="center"/>
    </xf>
    <xf numFmtId="0" fontId="11" fillId="2" borderId="8" xfId="0" applyFont="1" applyFill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23" fillId="4" borderId="0" xfId="0" applyFont="1" applyFill="1" applyAlignment="1">
      <alignment horizontal="center" vertical="center"/>
    </xf>
    <xf numFmtId="0" fontId="23" fillId="4" borderId="18" xfId="0" applyFont="1" applyFill="1" applyBorder="1" applyAlignment="1">
      <alignment horizontal="center" vertical="center"/>
    </xf>
    <xf numFmtId="0" fontId="23" fillId="4" borderId="5" xfId="0" applyFont="1" applyFill="1" applyBorder="1" applyAlignment="1">
      <alignment horizontal="center" vertical="center"/>
    </xf>
    <xf numFmtId="0" fontId="23" fillId="4" borderId="6" xfId="0" applyFont="1" applyFill="1" applyBorder="1" applyAlignment="1">
      <alignment horizontal="center" vertical="center"/>
    </xf>
    <xf numFmtId="0" fontId="0" fillId="20" borderId="8" xfId="0" applyFill="1" applyBorder="1" applyAlignment="1">
      <alignment horizontal="center" vertical="center"/>
    </xf>
    <xf numFmtId="0" fontId="0" fillId="20" borderId="9" xfId="0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15" borderId="1" xfId="0" applyFont="1" applyFill="1" applyBorder="1" applyAlignment="1">
      <alignment horizontal="center"/>
    </xf>
    <xf numFmtId="0" fontId="1" fillId="15" borderId="2" xfId="0" applyFont="1" applyFill="1" applyBorder="1" applyAlignment="1">
      <alignment horizontal="center"/>
    </xf>
    <xf numFmtId="0" fontId="1" fillId="15" borderId="3" xfId="0" applyFont="1" applyFill="1" applyBorder="1" applyAlignment="1">
      <alignment horizontal="center"/>
    </xf>
    <xf numFmtId="0" fontId="1" fillId="15" borderId="4" xfId="0" applyFont="1" applyFill="1" applyBorder="1" applyAlignment="1">
      <alignment horizontal="center"/>
    </xf>
    <xf numFmtId="0" fontId="1" fillId="15" borderId="5" xfId="0" applyFont="1" applyFill="1" applyBorder="1" applyAlignment="1">
      <alignment horizontal="center"/>
    </xf>
    <xf numFmtId="0" fontId="1" fillId="15" borderId="6" xfId="0" applyFont="1" applyFill="1" applyBorder="1" applyAlignment="1">
      <alignment horizontal="center"/>
    </xf>
    <xf numFmtId="0" fontId="0" fillId="11" borderId="8" xfId="0" applyFill="1" applyBorder="1" applyAlignment="1">
      <alignment horizontal="center" vertical="center"/>
    </xf>
    <xf numFmtId="0" fontId="0" fillId="11" borderId="9" xfId="0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/>
    </xf>
    <xf numFmtId="0" fontId="1" fillId="11" borderId="2" xfId="0" applyFont="1" applyFill="1" applyBorder="1" applyAlignment="1">
      <alignment horizontal="center"/>
    </xf>
    <xf numFmtId="0" fontId="1" fillId="11" borderId="3" xfId="0" applyFont="1" applyFill="1" applyBorder="1" applyAlignment="1">
      <alignment horizontal="center"/>
    </xf>
    <xf numFmtId="0" fontId="1" fillId="11" borderId="4" xfId="0" applyFont="1" applyFill="1" applyBorder="1" applyAlignment="1">
      <alignment horizontal="center"/>
    </xf>
    <xf numFmtId="0" fontId="1" fillId="11" borderId="5" xfId="0" applyFont="1" applyFill="1" applyBorder="1" applyAlignment="1">
      <alignment horizontal="center"/>
    </xf>
    <xf numFmtId="0" fontId="1" fillId="11" borderId="6" xfId="0" applyFont="1" applyFill="1" applyBorder="1" applyAlignment="1">
      <alignment horizontal="center"/>
    </xf>
    <xf numFmtId="0" fontId="1" fillId="7" borderId="7" xfId="0" applyFont="1" applyFill="1" applyBorder="1" applyAlignment="1">
      <alignment horizontal="center" vertical="center"/>
    </xf>
    <xf numFmtId="0" fontId="1" fillId="16" borderId="7" xfId="0" applyFont="1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18" borderId="8" xfId="0" applyFill="1" applyBorder="1" applyAlignment="1">
      <alignment horizontal="center" vertical="center"/>
    </xf>
    <xf numFmtId="0" fontId="0" fillId="18" borderId="9" xfId="0" applyFill="1" applyBorder="1" applyAlignment="1">
      <alignment horizontal="center" vertical="center"/>
    </xf>
    <xf numFmtId="0" fontId="0" fillId="14" borderId="8" xfId="0" applyFill="1" applyBorder="1" applyAlignment="1">
      <alignment horizontal="center" vertical="center"/>
    </xf>
    <xf numFmtId="0" fontId="0" fillId="14" borderId="9" xfId="0" applyFill="1" applyBorder="1" applyAlignment="1">
      <alignment horizontal="center" vertical="center"/>
    </xf>
    <xf numFmtId="0" fontId="1" fillId="18" borderId="1" xfId="0" applyFont="1" applyFill="1" applyBorder="1" applyAlignment="1">
      <alignment horizontal="center"/>
    </xf>
    <xf numFmtId="0" fontId="1" fillId="18" borderId="2" xfId="0" applyFont="1" applyFill="1" applyBorder="1" applyAlignment="1">
      <alignment horizontal="center"/>
    </xf>
    <xf numFmtId="0" fontId="1" fillId="18" borderId="3" xfId="0" applyFont="1" applyFill="1" applyBorder="1" applyAlignment="1">
      <alignment horizontal="center"/>
    </xf>
    <xf numFmtId="0" fontId="1" fillId="18" borderId="4" xfId="0" applyFont="1" applyFill="1" applyBorder="1" applyAlignment="1">
      <alignment horizontal="center"/>
    </xf>
    <xf numFmtId="0" fontId="1" fillId="18" borderId="5" xfId="0" applyFont="1" applyFill="1" applyBorder="1" applyAlignment="1">
      <alignment horizontal="center"/>
    </xf>
    <xf numFmtId="0" fontId="1" fillId="18" borderId="6" xfId="0" applyFont="1" applyFill="1" applyBorder="1" applyAlignment="1">
      <alignment horizontal="center"/>
    </xf>
    <xf numFmtId="0" fontId="0" fillId="19" borderId="8" xfId="0" applyFill="1" applyBorder="1" applyAlignment="1">
      <alignment horizontal="center" vertical="center"/>
    </xf>
    <xf numFmtId="0" fontId="0" fillId="19" borderId="9" xfId="0" applyFill="1" applyBorder="1" applyAlignment="1">
      <alignment horizontal="center" vertical="center"/>
    </xf>
    <xf numFmtId="0" fontId="1" fillId="19" borderId="1" xfId="0" applyFont="1" applyFill="1" applyBorder="1" applyAlignment="1">
      <alignment horizontal="center" vertical="center"/>
    </xf>
    <xf numFmtId="0" fontId="1" fillId="19" borderId="2" xfId="0" applyFont="1" applyFill="1" applyBorder="1" applyAlignment="1">
      <alignment horizontal="center" vertical="center"/>
    </xf>
    <xf numFmtId="0" fontId="1" fillId="19" borderId="3" xfId="0" applyFont="1" applyFill="1" applyBorder="1" applyAlignment="1">
      <alignment horizontal="center" vertical="center"/>
    </xf>
    <xf numFmtId="0" fontId="1" fillId="19" borderId="4" xfId="0" applyFont="1" applyFill="1" applyBorder="1" applyAlignment="1">
      <alignment horizontal="center" vertical="center"/>
    </xf>
    <xf numFmtId="0" fontId="1" fillId="19" borderId="5" xfId="0" applyFont="1" applyFill="1" applyBorder="1" applyAlignment="1">
      <alignment horizontal="center" vertical="center"/>
    </xf>
    <xf numFmtId="0" fontId="1" fillId="19" borderId="6" xfId="0" applyFont="1" applyFill="1" applyBorder="1" applyAlignment="1">
      <alignment horizontal="center" vertical="center"/>
    </xf>
    <xf numFmtId="0" fontId="0" fillId="16" borderId="8" xfId="0" applyFill="1" applyBorder="1" applyAlignment="1">
      <alignment horizontal="center" vertical="center"/>
    </xf>
    <xf numFmtId="0" fontId="0" fillId="16" borderId="9" xfId="0" applyFill="1" applyBorder="1" applyAlignment="1">
      <alignment horizontal="center" vertical="center"/>
    </xf>
    <xf numFmtId="0" fontId="1" fillId="14" borderId="0" xfId="0" applyFont="1" applyFill="1" applyAlignment="1">
      <alignment horizontal="center" vertical="center"/>
    </xf>
    <xf numFmtId="0" fontId="1" fillId="14" borderId="5" xfId="0" applyFont="1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0" fillId="6" borderId="9" xfId="0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6" borderId="3" xfId="0" applyFont="1" applyFill="1" applyBorder="1" applyAlignment="1">
      <alignment horizontal="center"/>
    </xf>
    <xf numFmtId="0" fontId="1" fillId="6" borderId="4" xfId="0" applyFont="1" applyFill="1" applyBorder="1" applyAlignment="1">
      <alignment horizontal="center"/>
    </xf>
    <xf numFmtId="0" fontId="1" fillId="6" borderId="5" xfId="0" applyFont="1" applyFill="1" applyBorder="1" applyAlignment="1">
      <alignment horizontal="center"/>
    </xf>
    <xf numFmtId="0" fontId="1" fillId="6" borderId="6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0" fillId="8" borderId="8" xfId="0" applyFill="1" applyBorder="1" applyAlignment="1">
      <alignment horizontal="center" vertical="center"/>
    </xf>
    <xf numFmtId="0" fontId="0" fillId="8" borderId="9" xfId="0" applyFill="1" applyBorder="1" applyAlignment="1">
      <alignment horizontal="center" vertical="center"/>
    </xf>
    <xf numFmtId="0" fontId="0" fillId="6" borderId="8" xfId="0" applyFill="1" applyBorder="1" applyAlignment="1">
      <alignment horizontal="center"/>
    </xf>
    <xf numFmtId="0" fontId="0" fillId="6" borderId="9" xfId="0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7" borderId="3" xfId="0" applyFont="1" applyFill="1" applyBorder="1" applyAlignment="1">
      <alignment horizontal="center"/>
    </xf>
    <xf numFmtId="0" fontId="1" fillId="7" borderId="4" xfId="0" applyFont="1" applyFill="1" applyBorder="1" applyAlignment="1">
      <alignment horizontal="center"/>
    </xf>
    <xf numFmtId="0" fontId="1" fillId="7" borderId="5" xfId="0" applyFont="1" applyFill="1" applyBorder="1" applyAlignment="1">
      <alignment horizontal="center"/>
    </xf>
    <xf numFmtId="0" fontId="1" fillId="7" borderId="6" xfId="0" applyFont="1" applyFill="1" applyBorder="1" applyAlignment="1">
      <alignment horizontal="center"/>
    </xf>
    <xf numFmtId="0" fontId="0" fillId="7" borderId="8" xfId="0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8" borderId="2" xfId="0" applyFont="1" applyFill="1" applyBorder="1" applyAlignment="1">
      <alignment horizontal="center" vertical="center"/>
    </xf>
    <xf numFmtId="0" fontId="1" fillId="8" borderId="3" xfId="0" applyFont="1" applyFill="1" applyBorder="1" applyAlignment="1">
      <alignment horizontal="center" vertical="center"/>
    </xf>
    <xf numFmtId="0" fontId="1" fillId="8" borderId="4" xfId="0" applyFont="1" applyFill="1" applyBorder="1" applyAlignment="1">
      <alignment horizontal="center" vertical="center"/>
    </xf>
    <xf numFmtId="0" fontId="1" fillId="8" borderId="5" xfId="0" applyFont="1" applyFill="1" applyBorder="1" applyAlignment="1">
      <alignment horizontal="center" vertical="center"/>
    </xf>
    <xf numFmtId="0" fontId="1" fillId="8" borderId="6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  <xf numFmtId="0" fontId="1" fillId="6" borderId="5" xfId="0" applyFont="1" applyFill="1" applyBorder="1" applyAlignment="1">
      <alignment horizontal="center" vertical="center"/>
    </xf>
    <xf numFmtId="0" fontId="1" fillId="6" borderId="6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5" borderId="5" xfId="0" applyFont="1" applyFill="1" applyBorder="1" applyAlignment="1">
      <alignment horizontal="center"/>
    </xf>
    <xf numFmtId="0" fontId="1" fillId="5" borderId="6" xfId="0" applyFont="1" applyFill="1" applyBorder="1" applyAlignment="1">
      <alignment horizontal="center"/>
    </xf>
    <xf numFmtId="0" fontId="11" fillId="0" borderId="8" xfId="0" applyFont="1" applyBorder="1" applyAlignment="1">
      <alignment horizontal="center" vertical="center"/>
    </xf>
    <xf numFmtId="0" fontId="23" fillId="4" borderId="1" xfId="0" applyFont="1" applyFill="1" applyBorder="1" applyAlignment="1">
      <alignment horizontal="center" vertical="center"/>
    </xf>
    <xf numFmtId="0" fontId="19" fillId="4" borderId="2" xfId="0" applyFont="1" applyFill="1" applyBorder="1" applyAlignment="1">
      <alignment horizontal="center" vertical="center"/>
    </xf>
    <xf numFmtId="0" fontId="19" fillId="4" borderId="3" xfId="0" applyFont="1" applyFill="1" applyBorder="1" applyAlignment="1">
      <alignment horizontal="center" vertical="center"/>
    </xf>
    <xf numFmtId="0" fontId="19" fillId="4" borderId="4" xfId="0" applyFont="1" applyFill="1" applyBorder="1" applyAlignment="1">
      <alignment horizontal="center" vertical="center"/>
    </xf>
    <xf numFmtId="0" fontId="19" fillId="4" borderId="5" xfId="0" applyFont="1" applyFill="1" applyBorder="1" applyAlignment="1">
      <alignment horizontal="center" vertical="center"/>
    </xf>
    <xf numFmtId="0" fontId="19" fillId="4" borderId="6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41" fillId="22" borderId="8" xfId="0" applyFont="1" applyFill="1" applyBorder="1" applyAlignment="1">
      <alignment horizontal="center" vertical="center" readingOrder="2"/>
    </xf>
    <xf numFmtId="0" fontId="41" fillId="22" borderId="9" xfId="0" applyFont="1" applyFill="1" applyBorder="1" applyAlignment="1">
      <alignment horizontal="center" vertical="center" readingOrder="2"/>
    </xf>
    <xf numFmtId="0" fontId="41" fillId="0" borderId="8" xfId="0" applyFont="1" applyBorder="1" applyAlignment="1">
      <alignment horizontal="center" vertical="center" readingOrder="1"/>
    </xf>
    <xf numFmtId="0" fontId="41" fillId="0" borderId="9" xfId="0" applyFont="1" applyBorder="1" applyAlignment="1">
      <alignment horizontal="center" vertical="center" readingOrder="1"/>
    </xf>
    <xf numFmtId="0" fontId="33" fillId="23" borderId="1" xfId="0" applyFont="1" applyFill="1" applyBorder="1" applyAlignment="1">
      <alignment horizontal="center" vertical="center"/>
    </xf>
    <xf numFmtId="0" fontId="40" fillId="23" borderId="2" xfId="0" applyFont="1" applyFill="1" applyBorder="1" applyAlignment="1">
      <alignment horizontal="center" vertical="center"/>
    </xf>
    <xf numFmtId="0" fontId="40" fillId="23" borderId="3" xfId="0" applyFont="1" applyFill="1" applyBorder="1" applyAlignment="1">
      <alignment horizontal="center" vertical="center"/>
    </xf>
    <xf numFmtId="0" fontId="40" fillId="23" borderId="4" xfId="0" applyFont="1" applyFill="1" applyBorder="1" applyAlignment="1">
      <alignment horizontal="center" vertical="center"/>
    </xf>
    <xf numFmtId="0" fontId="40" fillId="23" borderId="5" xfId="0" applyFont="1" applyFill="1" applyBorder="1" applyAlignment="1">
      <alignment horizontal="center" vertical="center"/>
    </xf>
    <xf numFmtId="0" fontId="40" fillId="23" borderId="6" xfId="0" applyFont="1" applyFill="1" applyBorder="1" applyAlignment="1">
      <alignment horizontal="center" vertical="center"/>
    </xf>
    <xf numFmtId="0" fontId="23" fillId="4" borderId="7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/>
    </xf>
    <xf numFmtId="0" fontId="1" fillId="13" borderId="2" xfId="0" applyFont="1" applyFill="1" applyBorder="1" applyAlignment="1">
      <alignment horizontal="center"/>
    </xf>
    <xf numFmtId="0" fontId="1" fillId="13" borderId="3" xfId="0" applyFont="1" applyFill="1" applyBorder="1" applyAlignment="1">
      <alignment horizontal="center"/>
    </xf>
    <xf numFmtId="0" fontId="1" fillId="13" borderId="4" xfId="0" applyFont="1" applyFill="1" applyBorder="1" applyAlignment="1">
      <alignment horizontal="center"/>
    </xf>
    <xf numFmtId="0" fontId="1" fillId="13" borderId="5" xfId="0" applyFont="1" applyFill="1" applyBorder="1" applyAlignment="1">
      <alignment horizontal="center"/>
    </xf>
    <xf numFmtId="0" fontId="1" fillId="13" borderId="6" xfId="0" applyFont="1" applyFill="1" applyBorder="1" applyAlignment="1">
      <alignment horizontal="center"/>
    </xf>
    <xf numFmtId="0" fontId="1" fillId="13" borderId="1" xfId="0" applyFont="1" applyFill="1" applyBorder="1" applyAlignment="1">
      <alignment horizontal="center" vertical="center"/>
    </xf>
    <xf numFmtId="0" fontId="1" fillId="13" borderId="2" xfId="0" applyFont="1" applyFill="1" applyBorder="1" applyAlignment="1">
      <alignment horizontal="center" vertical="center"/>
    </xf>
    <xf numFmtId="0" fontId="1" fillId="13" borderId="3" xfId="0" applyFont="1" applyFill="1" applyBorder="1" applyAlignment="1">
      <alignment horizontal="center" vertical="center"/>
    </xf>
    <xf numFmtId="0" fontId="1" fillId="13" borderId="4" xfId="0" applyFont="1" applyFill="1" applyBorder="1" applyAlignment="1">
      <alignment horizontal="center" vertical="center"/>
    </xf>
    <xf numFmtId="0" fontId="1" fillId="13" borderId="5" xfId="0" applyFont="1" applyFill="1" applyBorder="1" applyAlignment="1">
      <alignment horizontal="center" vertical="center"/>
    </xf>
    <xf numFmtId="0" fontId="1" fillId="13" borderId="6" xfId="0" applyFont="1" applyFill="1" applyBorder="1" applyAlignment="1">
      <alignment horizontal="center" vertical="center"/>
    </xf>
    <xf numFmtId="0" fontId="15" fillId="5" borderId="14" xfId="0" applyFont="1" applyFill="1" applyBorder="1" applyAlignment="1">
      <alignment horizontal="center" vertical="center"/>
    </xf>
    <xf numFmtId="0" fontId="15" fillId="5" borderId="0" xfId="0" applyFont="1" applyFill="1" applyAlignment="1">
      <alignment horizontal="center" vertical="center"/>
    </xf>
    <xf numFmtId="0" fontId="7" fillId="5" borderId="0" xfId="0" applyFont="1" applyFill="1" applyAlignment="1">
      <alignment horizontal="center" vertical="center" textRotation="180"/>
    </xf>
    <xf numFmtId="0" fontId="15" fillId="5" borderId="1" xfId="0" applyFont="1" applyFill="1" applyBorder="1" applyAlignment="1">
      <alignment horizontal="center"/>
    </xf>
    <xf numFmtId="0" fontId="1" fillId="21" borderId="1" xfId="0" applyFont="1" applyFill="1" applyBorder="1" applyAlignment="1">
      <alignment horizontal="center"/>
    </xf>
    <xf numFmtId="0" fontId="1" fillId="21" borderId="2" xfId="0" applyFont="1" applyFill="1" applyBorder="1" applyAlignment="1">
      <alignment horizontal="center"/>
    </xf>
    <xf numFmtId="0" fontId="1" fillId="21" borderId="3" xfId="0" applyFont="1" applyFill="1" applyBorder="1" applyAlignment="1">
      <alignment horizontal="center"/>
    </xf>
    <xf numFmtId="0" fontId="1" fillId="21" borderId="4" xfId="0" applyFont="1" applyFill="1" applyBorder="1" applyAlignment="1">
      <alignment horizontal="center"/>
    </xf>
    <xf numFmtId="0" fontId="1" fillId="21" borderId="5" xfId="0" applyFont="1" applyFill="1" applyBorder="1" applyAlignment="1">
      <alignment horizontal="center"/>
    </xf>
    <xf numFmtId="0" fontId="1" fillId="21" borderId="6" xfId="0" applyFont="1" applyFill="1" applyBorder="1" applyAlignment="1">
      <alignment horizontal="center"/>
    </xf>
    <xf numFmtId="0" fontId="2" fillId="3" borderId="0" xfId="0" applyFont="1" applyFill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11" fillId="4" borderId="8" xfId="0" applyFont="1" applyFill="1" applyBorder="1" applyAlignment="1">
      <alignment horizontal="center" vertical="center"/>
    </xf>
    <xf numFmtId="0" fontId="11" fillId="4" borderId="9" xfId="0" applyFont="1" applyFill="1" applyBorder="1" applyAlignment="1">
      <alignment horizontal="center" vertical="center"/>
    </xf>
    <xf numFmtId="0" fontId="19" fillId="3" borderId="0" xfId="0" applyFont="1" applyFill="1" applyAlignment="1">
      <alignment horizontal="center" vertical="center"/>
    </xf>
    <xf numFmtId="0" fontId="19" fillId="3" borderId="5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4" fillId="3" borderId="2" xfId="0" applyFont="1" applyFill="1" applyBorder="1" applyAlignment="1">
      <alignment horizontal="center" vertical="center"/>
    </xf>
    <xf numFmtId="0" fontId="24" fillId="3" borderId="3" xfId="0" applyFont="1" applyFill="1" applyBorder="1" applyAlignment="1">
      <alignment horizontal="center" vertical="center"/>
    </xf>
    <xf numFmtId="0" fontId="24" fillId="3" borderId="4" xfId="0" applyFont="1" applyFill="1" applyBorder="1" applyAlignment="1">
      <alignment horizontal="center" vertical="center"/>
    </xf>
    <xf numFmtId="0" fontId="24" fillId="3" borderId="5" xfId="0" applyFont="1" applyFill="1" applyBorder="1" applyAlignment="1">
      <alignment horizontal="center" vertical="center"/>
    </xf>
    <xf numFmtId="0" fontId="24" fillId="3" borderId="6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33" fillId="18" borderId="0" xfId="0" applyFont="1" applyFill="1" applyAlignment="1">
      <alignment horizontal="center" vertical="center" textRotation="255"/>
    </xf>
    <xf numFmtId="0" fontId="0" fillId="18" borderId="0" xfId="0" applyFill="1" applyAlignment="1">
      <alignment horizontal="center" vertical="center" textRotation="255"/>
    </xf>
    <xf numFmtId="0" fontId="35" fillId="18" borderId="0" xfId="0" applyFont="1" applyFill="1" applyAlignment="1">
      <alignment horizontal="center" vertical="center"/>
    </xf>
    <xf numFmtId="0" fontId="0" fillId="18" borderId="0" xfId="0" applyFill="1" applyAlignment="1">
      <alignment horizontal="center" vertical="center"/>
    </xf>
    <xf numFmtId="0" fontId="33" fillId="10" borderId="0" xfId="0" applyFont="1" applyFill="1" applyAlignment="1">
      <alignment horizontal="center" vertical="center" textRotation="255"/>
    </xf>
    <xf numFmtId="0" fontId="0" fillId="10" borderId="0" xfId="0" applyFill="1" applyAlignment="1">
      <alignment horizontal="center" vertical="center" textRotation="255"/>
    </xf>
    <xf numFmtId="0" fontId="28" fillId="3" borderId="1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19" fillId="2" borderId="8" xfId="0" applyFont="1" applyFill="1" applyBorder="1" applyAlignment="1">
      <alignment horizontal="center" vertical="center"/>
    </xf>
    <xf numFmtId="0" fontId="19" fillId="2" borderId="9" xfId="0" applyFont="1" applyFill="1" applyBorder="1" applyAlignment="1">
      <alignment horizontal="center" vertical="center"/>
    </xf>
    <xf numFmtId="0" fontId="10" fillId="2" borderId="8" xfId="0" applyFont="1" applyFill="1" applyBorder="1" applyAlignment="1">
      <alignment horizontal="center" vertical="center"/>
    </xf>
    <xf numFmtId="18" fontId="11" fillId="0" borderId="10" xfId="0" applyNumberFormat="1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  <xf numFmtId="0" fontId="11" fillId="2" borderId="14" xfId="0" applyFont="1" applyFill="1" applyBorder="1" applyAlignment="1">
      <alignment horizontal="center" vertical="center"/>
    </xf>
    <xf numFmtId="0" fontId="19" fillId="2" borderId="13" xfId="0" applyFont="1" applyFill="1" applyBorder="1" applyAlignment="1">
      <alignment horizontal="center" vertical="center"/>
    </xf>
    <xf numFmtId="0" fontId="10" fillId="2" borderId="7" xfId="0" applyFont="1" applyFill="1" applyBorder="1" applyAlignment="1">
      <alignment horizontal="center" vertical="center"/>
    </xf>
    <xf numFmtId="18" fontId="11" fillId="0" borderId="8" xfId="0" applyNumberFormat="1" applyFont="1" applyBorder="1" applyAlignment="1">
      <alignment horizontal="center" vertical="center"/>
    </xf>
    <xf numFmtId="18" fontId="11" fillId="0" borderId="9" xfId="0" applyNumberFormat="1" applyFont="1" applyBorder="1" applyAlignment="1">
      <alignment horizontal="center" vertical="center"/>
    </xf>
    <xf numFmtId="0" fontId="24" fillId="2" borderId="8" xfId="0" applyFont="1" applyFill="1" applyBorder="1" applyAlignment="1">
      <alignment horizontal="center" vertical="center"/>
    </xf>
    <xf numFmtId="0" fontId="24" fillId="2" borderId="9" xfId="0" applyFont="1" applyFill="1" applyBorder="1" applyAlignment="1">
      <alignment horizontal="center" vertical="center"/>
    </xf>
    <xf numFmtId="0" fontId="11" fillId="17" borderId="1" xfId="0" applyFont="1" applyFill="1" applyBorder="1" applyAlignment="1">
      <alignment horizontal="center" vertical="center"/>
    </xf>
    <xf numFmtId="0" fontId="11" fillId="17" borderId="2" xfId="0" applyFont="1" applyFill="1" applyBorder="1" applyAlignment="1">
      <alignment horizontal="center" vertical="center"/>
    </xf>
    <xf numFmtId="0" fontId="11" fillId="17" borderId="3" xfId="0" applyFont="1" applyFill="1" applyBorder="1" applyAlignment="1">
      <alignment horizontal="center" vertical="center"/>
    </xf>
    <xf numFmtId="0" fontId="11" fillId="17" borderId="4" xfId="0" applyFont="1" applyFill="1" applyBorder="1" applyAlignment="1">
      <alignment horizontal="center" vertical="center"/>
    </xf>
    <xf numFmtId="0" fontId="11" fillId="17" borderId="5" xfId="0" applyFont="1" applyFill="1" applyBorder="1" applyAlignment="1">
      <alignment horizontal="center" vertical="center"/>
    </xf>
    <xf numFmtId="0" fontId="11" fillId="17" borderId="6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10" fillId="2" borderId="9" xfId="0" applyFont="1" applyFill="1" applyBorder="1" applyAlignment="1">
      <alignment horizontal="center" vertical="center"/>
    </xf>
    <xf numFmtId="0" fontId="10" fillId="2" borderId="19" xfId="0" applyFont="1" applyFill="1" applyBorder="1" applyAlignment="1">
      <alignment horizontal="center" vertical="center"/>
    </xf>
    <xf numFmtId="18" fontId="11" fillId="0" borderId="10" xfId="0" applyNumberFormat="1" applyFont="1" applyBorder="1" applyAlignment="1">
      <alignment horizontal="center" vertical="center" readingOrder="2"/>
    </xf>
    <xf numFmtId="0" fontId="11" fillId="0" borderId="10" xfId="0" applyFont="1" applyBorder="1" applyAlignment="1">
      <alignment horizontal="center" vertical="center" readingOrder="2"/>
    </xf>
    <xf numFmtId="0" fontId="8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11" fillId="2" borderId="7" xfId="0" applyFont="1" applyFill="1" applyBorder="1" applyAlignment="1">
      <alignment horizontal="center" vertical="center"/>
    </xf>
    <xf numFmtId="0" fontId="24" fillId="0" borderId="8" xfId="0" applyFont="1" applyBorder="1" applyAlignment="1">
      <alignment horizontal="center" vertical="center"/>
    </xf>
    <xf numFmtId="0" fontId="11" fillId="6" borderId="8" xfId="0" applyFont="1" applyFill="1" applyBorder="1" applyAlignment="1">
      <alignment horizontal="center" vertical="center"/>
    </xf>
    <xf numFmtId="0" fontId="11" fillId="6" borderId="9" xfId="0" applyFont="1" applyFill="1" applyBorder="1" applyAlignment="1">
      <alignment horizontal="center" vertical="center"/>
    </xf>
    <xf numFmtId="0" fontId="11" fillId="2" borderId="10" xfId="0" applyFont="1" applyFill="1" applyBorder="1" applyAlignment="1">
      <alignment horizontal="center" vertical="center"/>
    </xf>
    <xf numFmtId="18" fontId="11" fillId="2" borderId="10" xfId="0" applyNumberFormat="1" applyFont="1" applyFill="1" applyBorder="1" applyAlignment="1">
      <alignment horizontal="center" vertical="center"/>
    </xf>
    <xf numFmtId="0" fontId="8" fillId="4" borderId="5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9" fillId="2" borderId="1" xfId="0" applyFont="1" applyFill="1" applyBorder="1" applyAlignment="1">
      <alignment horizontal="center" vertical="center"/>
    </xf>
    <xf numFmtId="0" fontId="19" fillId="2" borderId="4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9" fillId="0" borderId="1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11" fillId="6" borderId="13" xfId="0" applyFont="1" applyFill="1" applyBorder="1" applyAlignment="1">
      <alignment horizontal="center" vertical="center"/>
    </xf>
    <xf numFmtId="0" fontId="9" fillId="6" borderId="13" xfId="0" applyFont="1" applyFill="1" applyBorder="1" applyAlignment="1">
      <alignment horizontal="center" vertical="center"/>
    </xf>
    <xf numFmtId="0" fontId="9" fillId="6" borderId="9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8" fillId="6" borderId="8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2" fillId="6" borderId="8" xfId="0" applyFont="1" applyFill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/>
    </xf>
    <xf numFmtId="0" fontId="19" fillId="2" borderId="0" xfId="0" applyFont="1" applyFill="1" applyAlignment="1">
      <alignment horizontal="center" vertical="center"/>
    </xf>
    <xf numFmtId="0" fontId="52" fillId="0" borderId="8" xfId="0" applyFont="1" applyBorder="1" applyAlignment="1">
      <alignment horizontal="center" vertical="center"/>
    </xf>
    <xf numFmtId="0" fontId="52" fillId="0" borderId="9" xfId="0" applyFont="1" applyBorder="1" applyAlignment="1">
      <alignment horizontal="center" vertical="center"/>
    </xf>
    <xf numFmtId="0" fontId="52" fillId="25" borderId="8" xfId="0" applyFont="1" applyFill="1" applyBorder="1" applyAlignment="1">
      <alignment horizontal="center" vertical="center" readingOrder="2"/>
    </xf>
    <xf numFmtId="0" fontId="52" fillId="25" borderId="9" xfId="0" applyFont="1" applyFill="1" applyBorder="1" applyAlignment="1">
      <alignment horizontal="center" vertical="center" readingOrder="2"/>
    </xf>
    <xf numFmtId="0" fontId="51" fillId="0" borderId="8" xfId="0" applyFont="1" applyBorder="1" applyAlignment="1">
      <alignment horizontal="center" vertical="center"/>
    </xf>
    <xf numFmtId="0" fontId="51" fillId="0" borderId="9" xfId="0" applyFont="1" applyBorder="1" applyAlignment="1">
      <alignment horizontal="center" vertical="center"/>
    </xf>
    <xf numFmtId="0" fontId="49" fillId="25" borderId="8" xfId="0" applyFont="1" applyFill="1" applyBorder="1" applyAlignment="1">
      <alignment horizontal="center" vertical="center" readingOrder="2"/>
    </xf>
    <xf numFmtId="0" fontId="49" fillId="25" borderId="9" xfId="0" applyFont="1" applyFill="1" applyBorder="1" applyAlignment="1">
      <alignment horizontal="center" vertical="center" readingOrder="2"/>
    </xf>
    <xf numFmtId="0" fontId="42" fillId="25" borderId="35" xfId="0" applyFont="1" applyFill="1" applyBorder="1" applyAlignment="1">
      <alignment horizontal="center" vertical="center" readingOrder="2"/>
    </xf>
    <xf numFmtId="0" fontId="42" fillId="25" borderId="16" xfId="0" applyFont="1" applyFill="1" applyBorder="1" applyAlignment="1">
      <alignment horizontal="center" vertical="center" readingOrder="2"/>
    </xf>
    <xf numFmtId="18" fontId="45" fillId="0" borderId="24" xfId="0" applyNumberFormat="1" applyFont="1" applyBorder="1" applyAlignment="1">
      <alignment horizontal="center" vertical="center"/>
    </xf>
    <xf numFmtId="18" fontId="45" fillId="0" borderId="27" xfId="0" applyNumberFormat="1" applyFont="1" applyBorder="1" applyAlignment="1">
      <alignment horizontal="center" vertical="center"/>
    </xf>
    <xf numFmtId="0" fontId="45" fillId="25" borderId="35" xfId="0" applyFont="1" applyFill="1" applyBorder="1" applyAlignment="1">
      <alignment horizontal="center" vertical="center" readingOrder="2"/>
    </xf>
    <xf numFmtId="0" fontId="45" fillId="25" borderId="16" xfId="0" applyFont="1" applyFill="1" applyBorder="1" applyAlignment="1">
      <alignment horizontal="center" vertical="center" readingOrder="2"/>
    </xf>
    <xf numFmtId="0" fontId="41" fillId="0" borderId="36" xfId="0" applyFont="1" applyBorder="1" applyAlignment="1">
      <alignment horizontal="center" vertical="center"/>
    </xf>
    <xf numFmtId="0" fontId="41" fillId="0" borderId="17" xfId="0" applyFont="1" applyBorder="1" applyAlignment="1">
      <alignment horizontal="center" vertical="center"/>
    </xf>
    <xf numFmtId="0" fontId="41" fillId="0" borderId="32" xfId="0" applyFont="1" applyBorder="1" applyAlignment="1">
      <alignment horizontal="center" vertical="center"/>
    </xf>
    <xf numFmtId="0" fontId="41" fillId="0" borderId="16" xfId="0" applyFont="1" applyBorder="1" applyAlignment="1">
      <alignment horizontal="center" vertical="center"/>
    </xf>
    <xf numFmtId="0" fontId="41" fillId="0" borderId="15" xfId="0" applyFont="1" applyBorder="1" applyAlignment="1">
      <alignment horizontal="center" vertical="center"/>
    </xf>
    <xf numFmtId="0" fontId="41" fillId="0" borderId="31" xfId="0" applyFont="1" applyBorder="1" applyAlignment="1">
      <alignment horizontal="center" vertical="center"/>
    </xf>
    <xf numFmtId="0" fontId="50" fillId="0" borderId="0" xfId="0" applyFont="1" applyAlignment="1">
      <alignment horizontal="right" vertical="center" wrapText="1" readingOrder="2"/>
    </xf>
    <xf numFmtId="0" fontId="0" fillId="0" borderId="0" xfId="0" applyAlignment="1">
      <alignment vertical="center" wrapText="1"/>
    </xf>
    <xf numFmtId="0" fontId="45" fillId="25" borderId="28" xfId="0" applyFont="1" applyFill="1" applyBorder="1" applyAlignment="1">
      <alignment horizontal="center" vertical="center" readingOrder="2"/>
    </xf>
    <xf numFmtId="0" fontId="45" fillId="0" borderId="24" xfId="0" applyFont="1" applyBorder="1" applyAlignment="1">
      <alignment horizontal="center" vertical="center"/>
    </xf>
    <xf numFmtId="0" fontId="45" fillId="0" borderId="33" xfId="0" applyFont="1" applyBorder="1" applyAlignment="1">
      <alignment horizontal="center" vertical="center"/>
    </xf>
    <xf numFmtId="0" fontId="42" fillId="0" borderId="36" xfId="0" applyFont="1" applyBorder="1" applyAlignment="1">
      <alignment horizontal="center" vertical="center"/>
    </xf>
    <xf numFmtId="0" fontId="42" fillId="0" borderId="31" xfId="0" applyFont="1" applyBorder="1" applyAlignment="1">
      <alignment horizontal="center" vertical="center"/>
    </xf>
    <xf numFmtId="0" fontId="53" fillId="25" borderId="35" xfId="0" applyFont="1" applyFill="1" applyBorder="1" applyAlignment="1">
      <alignment horizontal="center" vertical="center" readingOrder="2"/>
    </xf>
    <xf numFmtId="0" fontId="53" fillId="25" borderId="28" xfId="0" applyFont="1" applyFill="1" applyBorder="1" applyAlignment="1">
      <alignment horizontal="center" vertical="center" readingOrder="2"/>
    </xf>
    <xf numFmtId="0" fontId="52" fillId="0" borderId="36" xfId="0" applyFont="1" applyBorder="1" applyAlignment="1">
      <alignment horizontal="center" vertical="center"/>
    </xf>
    <xf numFmtId="0" fontId="52" fillId="0" borderId="31" xfId="0" applyFont="1" applyBorder="1" applyAlignment="1">
      <alignment horizontal="center" vertical="center"/>
    </xf>
    <xf numFmtId="0" fontId="53" fillId="25" borderId="32" xfId="0" applyFont="1" applyFill="1" applyBorder="1" applyAlignment="1">
      <alignment horizontal="center" vertical="center" readingOrder="2"/>
    </xf>
    <xf numFmtId="0" fontId="53" fillId="25" borderId="15" xfId="0" applyFont="1" applyFill="1" applyBorder="1" applyAlignment="1">
      <alignment horizontal="center" vertical="center" readingOrder="2"/>
    </xf>
    <xf numFmtId="0" fontId="45" fillId="0" borderId="32" xfId="0" applyFont="1" applyBorder="1" applyAlignment="1">
      <alignment horizontal="center" vertical="center"/>
    </xf>
    <xf numFmtId="0" fontId="45" fillId="0" borderId="28" xfId="0" applyFont="1" applyBorder="1" applyAlignment="1">
      <alignment horizontal="center" vertical="center"/>
    </xf>
    <xf numFmtId="0" fontId="52" fillId="25" borderId="36" xfId="0" applyFont="1" applyFill="1" applyBorder="1" applyAlignment="1">
      <alignment horizontal="center" vertical="center"/>
    </xf>
    <xf numFmtId="0" fontId="52" fillId="25" borderId="31" xfId="0" applyFont="1" applyFill="1" applyBorder="1" applyAlignment="1">
      <alignment horizontal="center" vertical="center"/>
    </xf>
    <xf numFmtId="0" fontId="45" fillId="0" borderId="37" xfId="0" applyFont="1" applyBorder="1" applyAlignment="1">
      <alignment horizontal="center" vertical="center"/>
    </xf>
    <xf numFmtId="0" fontId="49" fillId="25" borderId="32" xfId="0" applyFont="1" applyFill="1" applyBorder="1" applyAlignment="1">
      <alignment horizontal="center" vertical="center" readingOrder="2"/>
    </xf>
    <xf numFmtId="0" fontId="49" fillId="25" borderId="15" xfId="0" applyFont="1" applyFill="1" applyBorder="1" applyAlignment="1">
      <alignment horizontal="center" vertical="center" readingOrder="2"/>
    </xf>
    <xf numFmtId="0" fontId="45" fillId="0" borderId="24" xfId="0" applyFont="1" applyBorder="1" applyAlignment="1">
      <alignment horizontal="center" vertical="center" readingOrder="2"/>
    </xf>
    <xf numFmtId="0" fontId="45" fillId="0" borderId="33" xfId="0" applyFont="1" applyBorder="1" applyAlignment="1">
      <alignment horizontal="center" vertical="center" readingOrder="2"/>
    </xf>
    <xf numFmtId="0" fontId="49" fillId="25" borderId="28" xfId="0" applyFont="1" applyFill="1" applyBorder="1" applyAlignment="1">
      <alignment horizontal="center" vertical="center" readingOrder="2"/>
    </xf>
    <xf numFmtId="0" fontId="49" fillId="25" borderId="35" xfId="0" applyFont="1" applyFill="1" applyBorder="1" applyAlignment="1">
      <alignment horizontal="center" vertical="center" readingOrder="2"/>
    </xf>
    <xf numFmtId="0" fontId="45" fillId="0" borderId="37" xfId="0" applyFont="1" applyBorder="1" applyAlignment="1">
      <alignment horizontal="center" vertical="center" readingOrder="2"/>
    </xf>
    <xf numFmtId="0" fontId="49" fillId="25" borderId="36" xfId="0" applyFont="1" applyFill="1" applyBorder="1" applyAlignment="1">
      <alignment horizontal="center" vertical="center"/>
    </xf>
    <xf numFmtId="0" fontId="49" fillId="25" borderId="31" xfId="0" applyFont="1" applyFill="1" applyBorder="1" applyAlignment="1">
      <alignment horizontal="center" vertical="center"/>
    </xf>
    <xf numFmtId="0" fontId="45" fillId="25" borderId="32" xfId="0" applyFont="1" applyFill="1" applyBorder="1" applyAlignment="1">
      <alignment horizontal="center" vertical="center" readingOrder="2"/>
    </xf>
    <xf numFmtId="0" fontId="52" fillId="25" borderId="34" xfId="0" applyFont="1" applyFill="1" applyBorder="1" applyAlignment="1">
      <alignment horizontal="center" vertical="center"/>
    </xf>
    <xf numFmtId="0" fontId="45" fillId="25" borderId="36" xfId="0" applyFont="1" applyFill="1" applyBorder="1" applyAlignment="1">
      <alignment horizontal="center" vertical="center"/>
    </xf>
    <xf numFmtId="0" fontId="45" fillId="25" borderId="31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9" fillId="2" borderId="8" xfId="0" applyFont="1" applyFill="1" applyBorder="1" applyAlignment="1">
      <alignment horizontal="center"/>
    </xf>
    <xf numFmtId="0" fontId="29" fillId="2" borderId="9" xfId="0" applyFont="1" applyFill="1" applyBorder="1" applyAlignment="1">
      <alignment horizontal="center"/>
    </xf>
    <xf numFmtId="0" fontId="25" fillId="2" borderId="8" xfId="0" applyFont="1" applyFill="1" applyBorder="1" applyAlignment="1">
      <alignment horizontal="center" vertical="center"/>
    </xf>
    <xf numFmtId="0" fontId="15" fillId="17" borderId="7" xfId="0" applyFont="1" applyFill="1" applyBorder="1" applyAlignment="1">
      <alignment horizontal="center" vertical="center"/>
    </xf>
    <xf numFmtId="0" fontId="24" fillId="0" borderId="9" xfId="0" applyFont="1" applyBorder="1" applyAlignment="1">
      <alignment horizontal="center" vertical="center"/>
    </xf>
    <xf numFmtId="0" fontId="24" fillId="4" borderId="8" xfId="0" applyFont="1" applyFill="1" applyBorder="1" applyAlignment="1">
      <alignment horizontal="center" vertical="center"/>
    </xf>
    <xf numFmtId="0" fontId="24" fillId="4" borderId="9" xfId="0" applyFont="1" applyFill="1" applyBorder="1" applyAlignment="1">
      <alignment horizontal="center" vertical="center"/>
    </xf>
    <xf numFmtId="0" fontId="43" fillId="2" borderId="8" xfId="0" applyFont="1" applyFill="1" applyBorder="1" applyAlignment="1">
      <alignment horizontal="center" vertical="center"/>
    </xf>
    <xf numFmtId="0" fontId="24" fillId="0" borderId="8" xfId="0" applyFont="1" applyBorder="1" applyAlignment="1">
      <alignment horizontal="center" vertical="center" readingOrder="2"/>
    </xf>
    <xf numFmtId="0" fontId="24" fillId="0" borderId="9" xfId="0" applyFont="1" applyBorder="1" applyAlignment="1">
      <alignment horizontal="center" vertical="center" readingOrder="2"/>
    </xf>
    <xf numFmtId="0" fontId="24" fillId="2" borderId="19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11" fillId="6" borderId="10" xfId="0" applyFont="1" applyFill="1" applyBorder="1" applyAlignment="1">
      <alignment horizontal="center" vertical="center"/>
    </xf>
    <xf numFmtId="0" fontId="11" fillId="6" borderId="7" xfId="0" applyFont="1" applyFill="1" applyBorder="1" applyAlignment="1">
      <alignment horizontal="center" vertical="center"/>
    </xf>
    <xf numFmtId="14" fontId="22" fillId="11" borderId="8" xfId="0" applyNumberFormat="1" applyFont="1" applyFill="1" applyBorder="1" applyAlignment="1">
      <alignment horizontal="center" vertical="center"/>
    </xf>
    <xf numFmtId="0" fontId="22" fillId="11" borderId="9" xfId="0" applyFont="1" applyFill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0" fontId="15" fillId="0" borderId="9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0" fontId="19" fillId="0" borderId="9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1" fillId="4" borderId="7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/>
    </xf>
    <xf numFmtId="0" fontId="44" fillId="0" borderId="1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AB25A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416298</xdr:colOff>
      <xdr:row>71</xdr:row>
      <xdr:rowOff>91328</xdr:rowOff>
    </xdr:from>
    <xdr:to>
      <xdr:col>27</xdr:col>
      <xdr:colOff>100853</xdr:colOff>
      <xdr:row>74</xdr:row>
      <xdr:rowOff>115421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F22ABD0D-525F-4E8B-B67C-9F2CD4700B0B}"/>
            </a:ext>
          </a:extLst>
        </xdr:cNvPr>
        <xdr:cNvSpPr/>
      </xdr:nvSpPr>
      <xdr:spPr>
        <a:xfrm>
          <a:off x="12463933147" y="14535710"/>
          <a:ext cx="6217584" cy="595593"/>
        </a:xfrm>
        <a:prstGeom prst="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 rtl="1"/>
          <a:r>
            <a:rPr lang="ar-DZ" sz="2400"/>
            <a:t>فردي /رياضيات /تسيير </a:t>
          </a:r>
          <a:endParaRPr lang="fr-FR" sz="24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820B7-E61B-4D52-B8B8-C08E233A0D0D}">
  <dimension ref="B4:F22"/>
  <sheetViews>
    <sheetView rightToLeft="1" zoomScaleNormal="100" workbookViewId="0">
      <selection activeCell="F7" sqref="F7"/>
    </sheetView>
  </sheetViews>
  <sheetFormatPr defaultColWidth="11.42578125" defaultRowHeight="15" x14ac:dyDescent="0.25"/>
  <cols>
    <col min="3" max="3" width="19" bestFit="1" customWidth="1"/>
    <col min="4" max="5" width="18.7109375" bestFit="1" customWidth="1"/>
  </cols>
  <sheetData>
    <row r="4" spans="2:6" x14ac:dyDescent="0.25">
      <c r="B4" s="3"/>
      <c r="C4" s="3"/>
      <c r="D4" s="3"/>
      <c r="E4" s="3"/>
      <c r="F4" s="3"/>
    </row>
    <row r="5" spans="2:6" ht="21" x14ac:dyDescent="0.35">
      <c r="B5" s="20" t="s">
        <v>54</v>
      </c>
      <c r="C5" s="3" t="s">
        <v>614</v>
      </c>
      <c r="D5" s="2" t="s">
        <v>729</v>
      </c>
      <c r="E5" s="3"/>
      <c r="F5" s="3"/>
    </row>
    <row r="6" spans="2:6" ht="21" x14ac:dyDescent="0.35">
      <c r="B6" s="20" t="s">
        <v>62</v>
      </c>
      <c r="C6" s="3" t="s">
        <v>1040</v>
      </c>
      <c r="D6" s="3"/>
      <c r="E6" s="3"/>
      <c r="F6" s="3"/>
    </row>
    <row r="7" spans="2:6" ht="21" x14ac:dyDescent="0.35">
      <c r="B7" s="20" t="s">
        <v>71</v>
      </c>
      <c r="C7" s="3" t="s">
        <v>1066</v>
      </c>
      <c r="D7" s="3"/>
      <c r="E7" s="3"/>
      <c r="F7" s="3"/>
    </row>
    <row r="8" spans="2:6" ht="21" x14ac:dyDescent="0.35">
      <c r="B8" s="20" t="s">
        <v>515</v>
      </c>
      <c r="C8" s="3" t="s">
        <v>568</v>
      </c>
      <c r="D8" s="3"/>
      <c r="E8" s="3"/>
      <c r="F8" s="3"/>
    </row>
    <row r="9" spans="2:6" ht="21" x14ac:dyDescent="0.35">
      <c r="B9" s="20" t="s">
        <v>529</v>
      </c>
      <c r="C9" s="3" t="s">
        <v>1052</v>
      </c>
      <c r="D9" s="3"/>
      <c r="E9" s="3"/>
      <c r="F9" s="3"/>
    </row>
    <row r="10" spans="2:6" ht="30" customHeight="1" x14ac:dyDescent="0.25">
      <c r="B10" s="2" t="s">
        <v>620</v>
      </c>
      <c r="C10" s="2" t="s">
        <v>621</v>
      </c>
      <c r="D10" s="3"/>
      <c r="E10" s="3"/>
      <c r="F10" s="3"/>
    </row>
    <row r="11" spans="2:6" ht="21" x14ac:dyDescent="0.35">
      <c r="B11" s="20" t="s">
        <v>563</v>
      </c>
      <c r="C11" s="3" t="s">
        <v>624</v>
      </c>
      <c r="D11" s="3"/>
      <c r="E11" s="3"/>
      <c r="F11" s="3"/>
    </row>
    <row r="12" spans="2:6" ht="21" x14ac:dyDescent="0.35">
      <c r="B12" s="20" t="s">
        <v>628</v>
      </c>
      <c r="C12" s="3" t="s">
        <v>629</v>
      </c>
      <c r="D12" s="3"/>
      <c r="E12" s="3"/>
      <c r="F12" s="3"/>
    </row>
    <row r="13" spans="2:6" ht="21" x14ac:dyDescent="0.35">
      <c r="B13" s="20" t="s">
        <v>630</v>
      </c>
      <c r="C13" s="3" t="s">
        <v>631</v>
      </c>
      <c r="D13" s="3"/>
      <c r="E13" s="3"/>
      <c r="F13" s="3"/>
    </row>
    <row r="14" spans="2:6" x14ac:dyDescent="0.25">
      <c r="B14" s="3"/>
      <c r="C14" s="3"/>
      <c r="D14" s="3"/>
      <c r="E14" s="3"/>
      <c r="F14" s="3"/>
    </row>
    <row r="15" spans="2:6" x14ac:dyDescent="0.25">
      <c r="B15" s="3"/>
      <c r="C15" s="3"/>
      <c r="D15" s="3"/>
      <c r="E15" s="3"/>
      <c r="F15" s="3"/>
    </row>
    <row r="16" spans="2:6" x14ac:dyDescent="0.25">
      <c r="B16" s="3"/>
      <c r="C16" s="3"/>
      <c r="D16" s="3"/>
      <c r="E16" s="3"/>
      <c r="F16" s="3"/>
    </row>
    <row r="17" spans="2:6" x14ac:dyDescent="0.25">
      <c r="B17" s="3"/>
      <c r="C17" s="3"/>
      <c r="D17" s="3"/>
      <c r="E17" s="3"/>
      <c r="F17" s="3"/>
    </row>
    <row r="18" spans="2:6" x14ac:dyDescent="0.25">
      <c r="B18" s="3"/>
      <c r="C18" s="3"/>
      <c r="D18" s="3"/>
      <c r="E18" s="3"/>
      <c r="F18" s="3"/>
    </row>
    <row r="19" spans="2:6" x14ac:dyDescent="0.25">
      <c r="B19" s="3"/>
      <c r="C19" s="3"/>
      <c r="D19" s="3"/>
      <c r="E19" s="3"/>
      <c r="F19" s="3"/>
    </row>
    <row r="20" spans="2:6" x14ac:dyDescent="0.25">
      <c r="B20" s="3"/>
      <c r="C20" s="3"/>
      <c r="D20" s="3"/>
      <c r="E20" s="3"/>
      <c r="F20" s="3"/>
    </row>
    <row r="21" spans="2:6" x14ac:dyDescent="0.25">
      <c r="B21" s="3"/>
      <c r="C21" s="3"/>
      <c r="D21" s="3"/>
      <c r="E21" s="3"/>
      <c r="F21" s="3"/>
    </row>
    <row r="22" spans="2:6" x14ac:dyDescent="0.25">
      <c r="B22" s="3"/>
      <c r="C22" s="3"/>
      <c r="D22" s="3"/>
      <c r="E22" s="3"/>
      <c r="F22" s="3"/>
    </row>
  </sheetData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B04EC-5D95-4DE6-9292-71E6A892AFDC}">
  <dimension ref="C6:R46"/>
  <sheetViews>
    <sheetView rightToLeft="1" workbookViewId="0">
      <selection activeCell="C9" sqref="C9:F10"/>
    </sheetView>
  </sheetViews>
  <sheetFormatPr defaultColWidth="11.42578125" defaultRowHeight="15" x14ac:dyDescent="0.25"/>
  <cols>
    <col min="3" max="3" width="17.5703125" customWidth="1"/>
    <col min="4" max="4" width="20.5703125" customWidth="1"/>
    <col min="5" max="5" width="22.42578125" customWidth="1"/>
    <col min="6" max="6" width="18.28515625" bestFit="1" customWidth="1"/>
  </cols>
  <sheetData>
    <row r="6" spans="3:18" x14ac:dyDescent="0.25">
      <c r="F6" s="152" t="s">
        <v>895</v>
      </c>
      <c r="G6" s="153"/>
      <c r="H6" s="153"/>
      <c r="I6" s="153"/>
      <c r="J6" s="153"/>
      <c r="K6" s="154"/>
    </row>
    <row r="7" spans="3:18" x14ac:dyDescent="0.25">
      <c r="F7" s="155"/>
      <c r="G7" s="156"/>
      <c r="H7" s="156"/>
      <c r="I7" s="156"/>
      <c r="J7" s="156"/>
      <c r="K7" s="157"/>
    </row>
    <row r="8" spans="3:18" ht="21" x14ac:dyDescent="0.25">
      <c r="C8" s="83" t="s">
        <v>0</v>
      </c>
      <c r="D8" s="7" t="s">
        <v>1</v>
      </c>
      <c r="E8" s="7" t="s">
        <v>2</v>
      </c>
      <c r="F8" s="7" t="s">
        <v>3</v>
      </c>
      <c r="G8" s="7" t="s">
        <v>4</v>
      </c>
      <c r="H8" s="7" t="s">
        <v>5</v>
      </c>
      <c r="I8" s="7" t="s">
        <v>6</v>
      </c>
      <c r="J8" s="7" t="s">
        <v>7</v>
      </c>
      <c r="K8" s="7" t="s">
        <v>8</v>
      </c>
      <c r="L8" s="7" t="s">
        <v>9</v>
      </c>
      <c r="M8" s="7" t="s">
        <v>10</v>
      </c>
      <c r="N8" s="7" t="s">
        <v>11</v>
      </c>
      <c r="O8" s="7" t="s">
        <v>12</v>
      </c>
      <c r="P8" s="7" t="s">
        <v>13</v>
      </c>
      <c r="Q8" s="7" t="s">
        <v>14</v>
      </c>
      <c r="R8" s="9"/>
    </row>
    <row r="9" spans="3:18" x14ac:dyDescent="0.25">
      <c r="C9" s="148" t="s">
        <v>896</v>
      </c>
      <c r="D9" s="150" t="s">
        <v>900</v>
      </c>
      <c r="E9" s="2">
        <v>250</v>
      </c>
      <c r="F9" s="2">
        <v>2000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</row>
    <row r="10" spans="3:18" x14ac:dyDescent="0.25">
      <c r="C10" s="149"/>
      <c r="D10" s="151"/>
      <c r="E10" s="2" t="s">
        <v>901</v>
      </c>
      <c r="F10" s="2" t="s">
        <v>901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spans="3:18" x14ac:dyDescent="0.25">
      <c r="C11" s="148"/>
      <c r="D11" s="150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</row>
    <row r="12" spans="3:18" x14ac:dyDescent="0.25">
      <c r="C12" s="149"/>
      <c r="D12" s="151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spans="3:18" x14ac:dyDescent="0.25">
      <c r="C13" s="148"/>
      <c r="D13" s="150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3:18" x14ac:dyDescent="0.25">
      <c r="C14" s="149"/>
      <c r="D14" s="151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</row>
    <row r="15" spans="3:18" x14ac:dyDescent="0.25">
      <c r="C15" s="148"/>
      <c r="D15" s="150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3:18" x14ac:dyDescent="0.25">
      <c r="C16" s="149"/>
      <c r="D16" s="151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3:17" x14ac:dyDescent="0.25">
      <c r="C17" s="148"/>
      <c r="D17" s="150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3:17" x14ac:dyDescent="0.25">
      <c r="C18" s="149"/>
      <c r="D18" s="151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3:17" x14ac:dyDescent="0.25">
      <c r="C19" s="148"/>
      <c r="D19" s="150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3:17" x14ac:dyDescent="0.25">
      <c r="C20" s="149"/>
      <c r="D20" s="151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3:17" x14ac:dyDescent="0.25">
      <c r="C21" s="148"/>
      <c r="D21" s="150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3:17" x14ac:dyDescent="0.25">
      <c r="C22" s="149"/>
      <c r="D22" s="151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3:17" x14ac:dyDescent="0.25">
      <c r="C23" s="148"/>
      <c r="D23" s="150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 spans="3:17" x14ac:dyDescent="0.25">
      <c r="C24" s="149"/>
      <c r="D24" s="151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</row>
    <row r="25" spans="3:17" x14ac:dyDescent="0.25">
      <c r="C25" s="148"/>
      <c r="D25" s="150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</row>
    <row r="26" spans="3:17" x14ac:dyDescent="0.25">
      <c r="C26" s="149"/>
      <c r="D26" s="151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</row>
    <row r="27" spans="3:17" x14ac:dyDescent="0.25">
      <c r="C27" s="148"/>
      <c r="D27" s="150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spans="3:17" x14ac:dyDescent="0.25">
      <c r="C28" s="149"/>
      <c r="D28" s="151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</row>
    <row r="29" spans="3:17" x14ac:dyDescent="0.25">
      <c r="C29" s="148"/>
      <c r="D29" s="150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 spans="3:17" x14ac:dyDescent="0.25">
      <c r="C30" s="149"/>
      <c r="D30" s="151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spans="3:17" x14ac:dyDescent="0.25">
      <c r="C31" s="148"/>
      <c r="D31" s="150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spans="3:17" x14ac:dyDescent="0.25">
      <c r="C32" s="149"/>
      <c r="D32" s="151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 spans="3:17" x14ac:dyDescent="0.25">
      <c r="C33" s="148"/>
      <c r="D33" s="150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 spans="3:17" x14ac:dyDescent="0.25">
      <c r="C34" s="149"/>
      <c r="D34" s="151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 spans="3:17" x14ac:dyDescent="0.25">
      <c r="C35" s="148"/>
      <c r="D35" s="150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 spans="3:17" x14ac:dyDescent="0.25">
      <c r="C36" s="149"/>
      <c r="D36" s="151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</row>
    <row r="37" spans="3:17" x14ac:dyDescent="0.25">
      <c r="C37" s="148"/>
      <c r="D37" s="150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</row>
    <row r="38" spans="3:17" x14ac:dyDescent="0.25">
      <c r="C38" s="149"/>
      <c r="D38" s="151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</row>
    <row r="39" spans="3:17" x14ac:dyDescent="0.25">
      <c r="C39" s="148"/>
      <c r="D39" s="150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</row>
    <row r="40" spans="3:17" x14ac:dyDescent="0.25">
      <c r="C40" s="149"/>
      <c r="D40" s="151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</row>
    <row r="41" spans="3:17" x14ac:dyDescent="0.25">
      <c r="C41" s="148"/>
      <c r="D41" s="150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</row>
    <row r="42" spans="3:17" x14ac:dyDescent="0.25">
      <c r="C42" s="149"/>
      <c r="D42" s="151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</row>
    <row r="43" spans="3:17" x14ac:dyDescent="0.25">
      <c r="C43" s="148"/>
      <c r="D43" s="150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</row>
    <row r="44" spans="3:17" x14ac:dyDescent="0.25">
      <c r="C44" s="149"/>
      <c r="D44" s="151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</row>
    <row r="45" spans="3:17" x14ac:dyDescent="0.25">
      <c r="C45" s="148"/>
      <c r="D45" s="150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</row>
    <row r="46" spans="3:17" x14ac:dyDescent="0.25">
      <c r="C46" s="149"/>
      <c r="D46" s="151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</row>
  </sheetData>
  <mergeCells count="39">
    <mergeCell ref="C13:C14"/>
    <mergeCell ref="D13:D14"/>
    <mergeCell ref="F6:K7"/>
    <mergeCell ref="C9:C10"/>
    <mergeCell ref="D9:D10"/>
    <mergeCell ref="C11:C12"/>
    <mergeCell ref="D11:D12"/>
    <mergeCell ref="C15:C16"/>
    <mergeCell ref="D15:D16"/>
    <mergeCell ref="C17:C18"/>
    <mergeCell ref="D17:D18"/>
    <mergeCell ref="C19:C20"/>
    <mergeCell ref="D19:D20"/>
    <mergeCell ref="C21:C22"/>
    <mergeCell ref="D21:D22"/>
    <mergeCell ref="C23:C24"/>
    <mergeCell ref="D23:D24"/>
    <mergeCell ref="C25:C26"/>
    <mergeCell ref="D25:D26"/>
    <mergeCell ref="C27:C28"/>
    <mergeCell ref="D27:D28"/>
    <mergeCell ref="C29:C30"/>
    <mergeCell ref="D29:D30"/>
    <mergeCell ref="C31:C32"/>
    <mergeCell ref="D31:D32"/>
    <mergeCell ref="C33:C34"/>
    <mergeCell ref="D33:D34"/>
    <mergeCell ref="C35:C36"/>
    <mergeCell ref="D35:D36"/>
    <mergeCell ref="C37:C38"/>
    <mergeCell ref="D37:D38"/>
    <mergeCell ref="C45:C46"/>
    <mergeCell ref="D45:D46"/>
    <mergeCell ref="C39:C40"/>
    <mergeCell ref="D39:D40"/>
    <mergeCell ref="C41:C42"/>
    <mergeCell ref="D41:D42"/>
    <mergeCell ref="C43:C44"/>
    <mergeCell ref="D43:D4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GC63"/>
  <sheetViews>
    <sheetView rightToLeft="1" topLeftCell="FI4" zoomScaleNormal="100" workbookViewId="0">
      <selection activeCell="FR7" sqref="FR7:FR20"/>
    </sheetView>
  </sheetViews>
  <sheetFormatPr defaultColWidth="9.140625" defaultRowHeight="15" x14ac:dyDescent="0.25"/>
  <cols>
    <col min="2" max="2" width="15.140625" bestFit="1" customWidth="1"/>
    <col min="3" max="3" width="25.140625" bestFit="1" customWidth="1"/>
    <col min="4" max="4" width="24.5703125" bestFit="1" customWidth="1"/>
    <col min="5" max="5" width="28.5703125" bestFit="1" customWidth="1"/>
    <col min="6" max="6" width="16.85546875" customWidth="1"/>
    <col min="7" max="7" width="14.42578125" customWidth="1"/>
    <col min="8" max="8" width="16" customWidth="1"/>
    <col min="9" max="13" width="11" bestFit="1" customWidth="1"/>
    <col min="18" max="18" width="15.140625" bestFit="1" customWidth="1"/>
    <col min="19" max="19" width="25.5703125" bestFit="1" customWidth="1"/>
    <col min="20" max="21" width="42" bestFit="1" customWidth="1"/>
    <col min="34" max="34" width="20.85546875" customWidth="1"/>
    <col min="35" max="35" width="26.5703125" bestFit="1" customWidth="1"/>
    <col min="36" max="36" width="21.140625" customWidth="1"/>
    <col min="37" max="37" width="24.7109375" customWidth="1"/>
    <col min="38" max="38" width="35.28515625" bestFit="1" customWidth="1"/>
    <col min="39" max="39" width="19.7109375" bestFit="1" customWidth="1"/>
    <col min="40" max="46" width="11" bestFit="1" customWidth="1"/>
    <col min="49" max="49" width="11" bestFit="1" customWidth="1"/>
    <col min="50" max="50" width="15.140625" bestFit="1" customWidth="1"/>
    <col min="51" max="52" width="27" bestFit="1" customWidth="1"/>
    <col min="53" max="53" width="22.140625" customWidth="1"/>
    <col min="54" max="54" width="25.85546875" bestFit="1" customWidth="1"/>
    <col min="55" max="56" width="24" bestFit="1" customWidth="1"/>
    <col min="57" max="57" width="12.5703125" customWidth="1"/>
    <col min="58" max="58" width="12.7109375" customWidth="1"/>
    <col min="59" max="59" width="15.5703125" customWidth="1"/>
    <col min="60" max="60" width="13.5703125" customWidth="1"/>
    <col min="61" max="61" width="14.85546875" customWidth="1"/>
    <col min="62" max="62" width="15.28515625" customWidth="1"/>
    <col min="63" max="63" width="15" customWidth="1"/>
    <col min="64" max="64" width="16.140625" customWidth="1"/>
    <col min="65" max="65" width="13.5703125" customWidth="1"/>
    <col min="66" max="66" width="15.5703125" customWidth="1"/>
    <col min="67" max="67" width="26.5703125" customWidth="1"/>
    <col min="68" max="68" width="26.5703125" bestFit="1" customWidth="1"/>
    <col min="69" max="69" width="28.140625" customWidth="1"/>
    <col min="70" max="70" width="22.140625" customWidth="1"/>
    <col min="71" max="71" width="30.7109375" bestFit="1" customWidth="1"/>
    <col min="72" max="72" width="23.140625" customWidth="1"/>
    <col min="85" max="85" width="16.140625" bestFit="1" customWidth="1"/>
    <col min="86" max="86" width="25.5703125" bestFit="1" customWidth="1"/>
    <col min="87" max="87" width="25.28515625" bestFit="1" customWidth="1"/>
    <col min="88" max="89" width="24.5703125" bestFit="1" customWidth="1"/>
    <col min="90" max="90" width="12.5703125" customWidth="1"/>
    <col min="91" max="93" width="11" bestFit="1" customWidth="1"/>
    <col min="94" max="94" width="18" bestFit="1" customWidth="1"/>
    <col min="101" max="101" width="11" bestFit="1" customWidth="1"/>
    <col min="102" max="102" width="18.85546875" customWidth="1"/>
    <col min="107" max="107" width="3.42578125" customWidth="1"/>
    <col min="108" max="108" width="0.140625" customWidth="1"/>
    <col min="109" max="109" width="23" customWidth="1"/>
    <col min="110" max="110" width="24.7109375" bestFit="1" customWidth="1"/>
    <col min="111" max="111" width="25.5703125" customWidth="1"/>
    <col min="112" max="112" width="27.42578125" customWidth="1"/>
    <col min="113" max="113" width="12.42578125" customWidth="1"/>
    <col min="114" max="114" width="16.140625" customWidth="1"/>
    <col min="115" max="115" width="12.42578125" customWidth="1"/>
    <col min="116" max="116" width="11.7109375" customWidth="1"/>
    <col min="117" max="117" width="13.5703125" customWidth="1"/>
    <col min="118" max="118" width="12.28515625" customWidth="1"/>
    <col min="119" max="119" width="10.5703125" customWidth="1"/>
    <col min="120" max="121" width="13.28515625" customWidth="1"/>
    <col min="122" max="122" width="13.5703125" customWidth="1"/>
    <col min="123" max="123" width="15.140625" customWidth="1"/>
    <col min="133" max="133" width="18" customWidth="1"/>
    <col min="134" max="134" width="37.28515625" bestFit="1" customWidth="1"/>
    <col min="135" max="135" width="21.42578125" bestFit="1" customWidth="1"/>
    <col min="136" max="136" width="25.85546875" bestFit="1" customWidth="1"/>
    <col min="137" max="137" width="14.7109375" customWidth="1"/>
    <col min="138" max="138" width="13.85546875" customWidth="1"/>
    <col min="139" max="139" width="17.28515625" customWidth="1"/>
    <col min="153" max="153" width="17.7109375" customWidth="1"/>
    <col min="154" max="154" width="18.7109375" customWidth="1"/>
    <col min="155" max="155" width="21.140625" customWidth="1"/>
    <col min="156" max="156" width="18.85546875" customWidth="1"/>
    <col min="157" max="157" width="15.7109375" customWidth="1"/>
    <col min="158" max="158" width="14.85546875" customWidth="1"/>
    <col min="159" max="159" width="12.7109375" customWidth="1"/>
    <col min="160" max="160" width="10.85546875" customWidth="1"/>
    <col min="161" max="161" width="11.28515625" customWidth="1"/>
    <col min="163" max="163" width="11.42578125" customWidth="1"/>
    <col min="164" max="164" width="12.7109375" customWidth="1"/>
    <col min="165" max="165" width="11.28515625" customWidth="1"/>
    <col min="166" max="166" width="15.28515625" customWidth="1"/>
    <col min="167" max="167" width="11.7109375" customWidth="1"/>
    <col min="170" max="170" width="16.85546875" bestFit="1" customWidth="1"/>
    <col min="171" max="171" width="24.7109375" bestFit="1" customWidth="1"/>
    <col min="172" max="172" width="18.7109375" bestFit="1" customWidth="1"/>
    <col min="173" max="173" width="19.7109375" bestFit="1" customWidth="1"/>
    <col min="174" max="174" width="34.28515625" bestFit="1" customWidth="1"/>
  </cols>
  <sheetData>
    <row r="3" spans="2:185" ht="15" customHeight="1" x14ac:dyDescent="0.25">
      <c r="BQ3" s="190" t="s">
        <v>125</v>
      </c>
      <c r="BR3" s="190"/>
      <c r="BS3" s="190"/>
      <c r="BT3" s="190"/>
      <c r="BU3" s="190"/>
      <c r="BV3" s="190"/>
      <c r="CM3" s="167" t="s">
        <v>121</v>
      </c>
      <c r="CN3" s="167"/>
      <c r="CO3" s="167"/>
      <c r="CP3" s="167"/>
      <c r="CQ3" s="167"/>
      <c r="CR3" s="167"/>
      <c r="EZ3" s="167" t="s">
        <v>718</v>
      </c>
      <c r="FA3" s="167"/>
      <c r="FB3" s="167"/>
      <c r="FC3" s="167"/>
      <c r="FD3" s="167"/>
      <c r="FE3" s="167"/>
    </row>
    <row r="4" spans="2:185" ht="15" customHeight="1" x14ac:dyDescent="0.25">
      <c r="BQ4" s="190"/>
      <c r="BR4" s="190"/>
      <c r="BS4" s="190"/>
      <c r="BT4" s="190"/>
      <c r="BU4" s="190"/>
      <c r="BV4" s="190"/>
      <c r="CM4" s="167"/>
      <c r="CN4" s="167"/>
      <c r="CO4" s="167"/>
      <c r="CP4" s="167"/>
      <c r="CQ4" s="167"/>
      <c r="CR4" s="167"/>
      <c r="DG4" s="166" t="s">
        <v>151</v>
      </c>
      <c r="DH4" s="166"/>
      <c r="DI4" s="166"/>
      <c r="DJ4" s="166"/>
      <c r="DK4" s="166"/>
      <c r="DL4" s="166"/>
      <c r="EF4" s="167" t="s">
        <v>160</v>
      </c>
      <c r="EG4" s="167"/>
      <c r="EH4" s="167"/>
      <c r="EI4" s="167"/>
      <c r="EJ4" s="167"/>
      <c r="EK4" s="167"/>
      <c r="EZ4" s="167"/>
      <c r="FA4" s="167"/>
      <c r="FB4" s="167"/>
      <c r="FC4" s="167"/>
      <c r="FD4" s="167"/>
      <c r="FE4" s="167"/>
      <c r="FQ4" s="160" t="s">
        <v>822</v>
      </c>
      <c r="FR4" s="161"/>
      <c r="FS4" s="161"/>
      <c r="FT4" s="161"/>
      <c r="FU4" s="161"/>
      <c r="FV4" s="162"/>
    </row>
    <row r="5" spans="2:185" ht="15" customHeight="1" x14ac:dyDescent="0.25">
      <c r="E5" s="152" t="s">
        <v>117</v>
      </c>
      <c r="F5" s="153"/>
      <c r="G5" s="153"/>
      <c r="H5" s="153"/>
      <c r="I5" s="153"/>
      <c r="J5" s="154"/>
      <c r="U5" s="182" t="s">
        <v>118</v>
      </c>
      <c r="V5" s="183"/>
      <c r="W5" s="183"/>
      <c r="X5" s="183"/>
      <c r="Y5" s="183"/>
      <c r="Z5" s="184"/>
      <c r="AK5" s="160" t="s">
        <v>1245</v>
      </c>
      <c r="AL5" s="161"/>
      <c r="AM5" s="161"/>
      <c r="AN5" s="161"/>
      <c r="AO5" s="161"/>
      <c r="AP5" s="162"/>
      <c r="BA5" s="174" t="s">
        <v>31</v>
      </c>
      <c r="BB5" s="175"/>
      <c r="BC5" s="175"/>
      <c r="BD5" s="175"/>
      <c r="BE5" s="175"/>
      <c r="BF5" s="176"/>
      <c r="BQ5" s="191"/>
      <c r="BR5" s="191"/>
      <c r="BS5" s="191"/>
      <c r="BT5" s="191"/>
      <c r="BU5" s="191"/>
      <c r="BV5" s="191"/>
      <c r="CM5" s="167"/>
      <c r="CN5" s="167"/>
      <c r="CO5" s="167"/>
      <c r="CP5" s="167"/>
      <c r="CQ5" s="167"/>
      <c r="CR5" s="167"/>
      <c r="DG5" s="166"/>
      <c r="DH5" s="166"/>
      <c r="DI5" s="166"/>
      <c r="DJ5" s="166"/>
      <c r="DK5" s="166"/>
      <c r="DL5" s="166"/>
      <c r="EF5" s="167"/>
      <c r="EG5" s="167"/>
      <c r="EH5" s="167"/>
      <c r="EI5" s="167"/>
      <c r="EJ5" s="167"/>
      <c r="EK5" s="167"/>
      <c r="EZ5" s="167"/>
      <c r="FA5" s="167"/>
      <c r="FB5" s="167"/>
      <c r="FC5" s="167"/>
      <c r="FD5" s="167"/>
      <c r="FE5" s="167"/>
      <c r="FQ5" s="163"/>
      <c r="FR5" s="164"/>
      <c r="FS5" s="164"/>
      <c r="FT5" s="164"/>
      <c r="FU5" s="164"/>
      <c r="FV5" s="165"/>
    </row>
    <row r="6" spans="2:185" ht="21" customHeight="1" x14ac:dyDescent="0.35">
      <c r="E6" s="155"/>
      <c r="F6" s="156"/>
      <c r="G6" s="156"/>
      <c r="H6" s="156"/>
      <c r="I6" s="156"/>
      <c r="J6" s="157"/>
      <c r="U6" s="185"/>
      <c r="V6" s="186"/>
      <c r="W6" s="186"/>
      <c r="X6" s="186"/>
      <c r="Y6" s="186"/>
      <c r="Z6" s="187"/>
      <c r="AK6" s="163"/>
      <c r="AL6" s="164"/>
      <c r="AM6" s="164"/>
      <c r="AN6" s="164"/>
      <c r="AO6" s="164"/>
      <c r="AP6" s="165"/>
      <c r="BA6" s="177"/>
      <c r="BB6" s="178"/>
      <c r="BC6" s="178"/>
      <c r="BD6" s="178"/>
      <c r="BE6" s="178"/>
      <c r="BF6" s="179"/>
      <c r="BO6" s="70" t="s">
        <v>0</v>
      </c>
      <c r="BP6" s="1" t="s">
        <v>1</v>
      </c>
      <c r="BQ6" s="1" t="s">
        <v>2</v>
      </c>
      <c r="BR6" s="1" t="s">
        <v>72</v>
      </c>
      <c r="BS6" s="7" t="s">
        <v>3</v>
      </c>
      <c r="BT6" s="1" t="s">
        <v>4</v>
      </c>
      <c r="BU6" s="1" t="s">
        <v>5</v>
      </c>
      <c r="BV6" s="1" t="s">
        <v>6</v>
      </c>
      <c r="BW6" s="1" t="s">
        <v>7</v>
      </c>
      <c r="BX6" s="1" t="s">
        <v>73</v>
      </c>
      <c r="BY6" s="1" t="s">
        <v>8</v>
      </c>
      <c r="BZ6" s="1" t="s">
        <v>9</v>
      </c>
      <c r="CA6" s="1" t="s">
        <v>10</v>
      </c>
      <c r="CB6" s="1" t="s">
        <v>11</v>
      </c>
      <c r="CC6" s="1" t="s">
        <v>74</v>
      </c>
      <c r="CD6" s="1" t="s">
        <v>12</v>
      </c>
      <c r="CE6" s="1" t="s">
        <v>13</v>
      </c>
      <c r="CF6" s="1" t="s">
        <v>14</v>
      </c>
      <c r="CH6" s="69" t="s">
        <v>0</v>
      </c>
      <c r="CI6" s="7" t="s">
        <v>1</v>
      </c>
      <c r="CJ6" s="1" t="s">
        <v>2</v>
      </c>
      <c r="CK6" s="1" t="s">
        <v>3</v>
      </c>
      <c r="CL6" s="1" t="s">
        <v>4</v>
      </c>
      <c r="CM6" s="1" t="s">
        <v>5</v>
      </c>
      <c r="CN6" s="1" t="s">
        <v>6</v>
      </c>
      <c r="CO6" s="1" t="s">
        <v>7</v>
      </c>
      <c r="CP6" s="1" t="s">
        <v>73</v>
      </c>
      <c r="CQ6" s="1" t="s">
        <v>8</v>
      </c>
      <c r="CR6" s="1" t="s">
        <v>9</v>
      </c>
      <c r="CS6" s="1" t="s">
        <v>10</v>
      </c>
      <c r="CT6" s="1" t="s">
        <v>11</v>
      </c>
      <c r="CU6" s="1" t="s">
        <v>74</v>
      </c>
      <c r="CV6" s="1" t="s">
        <v>12</v>
      </c>
      <c r="CW6" s="1" t="s">
        <v>13</v>
      </c>
      <c r="CX6" s="1" t="s">
        <v>14</v>
      </c>
      <c r="DG6" s="166"/>
      <c r="DH6" s="166"/>
      <c r="DI6" s="166"/>
      <c r="DJ6" s="166"/>
      <c r="DK6" s="166"/>
      <c r="DL6" s="166"/>
      <c r="EF6" s="167"/>
      <c r="EG6" s="167"/>
      <c r="EH6" s="167"/>
      <c r="EI6" s="167"/>
      <c r="EJ6" s="167"/>
      <c r="EK6" s="167"/>
      <c r="EW6" s="7" t="s">
        <v>0</v>
      </c>
      <c r="EX6" s="7" t="s">
        <v>1</v>
      </c>
      <c r="EY6" s="7" t="s">
        <v>2</v>
      </c>
      <c r="EZ6" s="7" t="s">
        <v>3</v>
      </c>
      <c r="FA6" s="7" t="s">
        <v>4</v>
      </c>
      <c r="FB6" s="7" t="s">
        <v>5</v>
      </c>
      <c r="FC6" s="7" t="s">
        <v>6</v>
      </c>
      <c r="FD6" s="7" t="s">
        <v>7</v>
      </c>
      <c r="FE6" s="7" t="s">
        <v>8</v>
      </c>
      <c r="FF6" s="7" t="s">
        <v>9</v>
      </c>
      <c r="FG6" s="7" t="s">
        <v>10</v>
      </c>
      <c r="FH6" s="7" t="s">
        <v>11</v>
      </c>
      <c r="FI6" s="7" t="s">
        <v>12</v>
      </c>
      <c r="FJ6" s="7" t="s">
        <v>13</v>
      </c>
      <c r="FK6" s="7" t="s">
        <v>14</v>
      </c>
      <c r="FN6" s="96" t="s">
        <v>0</v>
      </c>
      <c r="FO6" s="7" t="s">
        <v>1</v>
      </c>
      <c r="FP6" s="7" t="s">
        <v>2</v>
      </c>
      <c r="FQ6" s="56" t="s">
        <v>72</v>
      </c>
      <c r="FR6" s="7" t="s">
        <v>3</v>
      </c>
      <c r="FS6" s="7" t="s">
        <v>4</v>
      </c>
      <c r="FT6" s="7" t="s">
        <v>5</v>
      </c>
      <c r="FU6" s="7" t="s">
        <v>6</v>
      </c>
      <c r="FV6" s="7" t="s">
        <v>7</v>
      </c>
      <c r="FW6" s="7" t="s">
        <v>8</v>
      </c>
      <c r="FX6" s="7" t="s">
        <v>9</v>
      </c>
      <c r="FY6" s="7" t="s">
        <v>10</v>
      </c>
      <c r="FZ6" s="7" t="s">
        <v>11</v>
      </c>
      <c r="GA6" s="7" t="s">
        <v>12</v>
      </c>
      <c r="GB6" s="7" t="s">
        <v>13</v>
      </c>
      <c r="GC6" s="7" t="s">
        <v>14</v>
      </c>
    </row>
    <row r="7" spans="2:185" ht="21" customHeight="1" x14ac:dyDescent="0.35">
      <c r="B7" s="73" t="s">
        <v>0</v>
      </c>
      <c r="C7" s="1" t="s">
        <v>1</v>
      </c>
      <c r="D7" s="1" t="s">
        <v>2</v>
      </c>
      <c r="E7" s="7" t="s">
        <v>3</v>
      </c>
      <c r="F7" s="1" t="s">
        <v>4</v>
      </c>
      <c r="G7" s="1" t="s">
        <v>5</v>
      </c>
      <c r="H7" s="1" t="s">
        <v>6</v>
      </c>
      <c r="I7" s="1" t="s">
        <v>7</v>
      </c>
      <c r="J7" s="1" t="s">
        <v>8</v>
      </c>
      <c r="K7" s="1" t="s">
        <v>9</v>
      </c>
      <c r="L7" s="1" t="s">
        <v>10</v>
      </c>
      <c r="M7" s="1" t="s">
        <v>11</v>
      </c>
      <c r="N7" s="1" t="s">
        <v>12</v>
      </c>
      <c r="O7" s="1" t="s">
        <v>13</v>
      </c>
      <c r="P7" s="1" t="s">
        <v>14</v>
      </c>
      <c r="R7" s="72" t="s">
        <v>0</v>
      </c>
      <c r="S7" s="7" t="s">
        <v>1</v>
      </c>
      <c r="T7" s="7" t="s">
        <v>2</v>
      </c>
      <c r="U7" s="7" t="s">
        <v>3</v>
      </c>
      <c r="V7" s="1" t="s">
        <v>4</v>
      </c>
      <c r="W7" s="1" t="s">
        <v>5</v>
      </c>
      <c r="X7" s="1" t="s">
        <v>6</v>
      </c>
      <c r="Y7" s="1" t="s">
        <v>7</v>
      </c>
      <c r="Z7" s="1" t="s">
        <v>8</v>
      </c>
      <c r="AA7" s="1" t="s">
        <v>9</v>
      </c>
      <c r="AB7" s="1" t="s">
        <v>10</v>
      </c>
      <c r="AC7" s="1" t="s">
        <v>11</v>
      </c>
      <c r="AD7" s="1" t="s">
        <v>12</v>
      </c>
      <c r="AE7" s="1" t="s">
        <v>13</v>
      </c>
      <c r="AF7" s="1" t="s">
        <v>14</v>
      </c>
      <c r="AH7" s="71" t="s">
        <v>0</v>
      </c>
      <c r="AI7" s="7" t="s">
        <v>1</v>
      </c>
      <c r="AJ7" s="1" t="s">
        <v>2</v>
      </c>
      <c r="AK7" s="7" t="s">
        <v>72</v>
      </c>
      <c r="AL7" s="1" t="s">
        <v>3</v>
      </c>
      <c r="AM7" s="1" t="s">
        <v>4</v>
      </c>
      <c r="AN7" s="1" t="s">
        <v>5</v>
      </c>
      <c r="AO7" s="1" t="s">
        <v>6</v>
      </c>
      <c r="AP7" s="1" t="s">
        <v>7</v>
      </c>
      <c r="AQ7" s="1" t="s">
        <v>8</v>
      </c>
      <c r="AR7" s="1" t="s">
        <v>9</v>
      </c>
      <c r="AS7" s="1" t="s">
        <v>10</v>
      </c>
      <c r="AT7" s="1" t="s">
        <v>11</v>
      </c>
      <c r="AU7" s="1" t="s">
        <v>12</v>
      </c>
      <c r="AV7" s="1" t="s">
        <v>13</v>
      </c>
      <c r="AW7" s="1" t="s">
        <v>14</v>
      </c>
      <c r="AY7" s="68" t="s">
        <v>0</v>
      </c>
      <c r="AZ7" s="7" t="s">
        <v>1</v>
      </c>
      <c r="BA7" s="7" t="s">
        <v>2</v>
      </c>
      <c r="BB7" s="7" t="s">
        <v>3</v>
      </c>
      <c r="BC7" s="7" t="s">
        <v>4</v>
      </c>
      <c r="BD7" s="7" t="s">
        <v>5</v>
      </c>
      <c r="BE7" s="7" t="s">
        <v>6</v>
      </c>
      <c r="BF7" s="7" t="s">
        <v>7</v>
      </c>
      <c r="BG7" s="7" t="s">
        <v>8</v>
      </c>
      <c r="BH7" s="7" t="s">
        <v>9</v>
      </c>
      <c r="BI7" s="7" t="s">
        <v>10</v>
      </c>
      <c r="BJ7" s="7" t="s">
        <v>11</v>
      </c>
      <c r="BK7" s="7" t="s">
        <v>12</v>
      </c>
      <c r="BL7" s="7" t="s">
        <v>13</v>
      </c>
      <c r="BM7" s="7" t="s">
        <v>14</v>
      </c>
      <c r="BO7" s="172" t="s">
        <v>75</v>
      </c>
      <c r="BP7" s="150" t="s">
        <v>76</v>
      </c>
      <c r="BQ7" s="2">
        <v>250</v>
      </c>
      <c r="BR7" s="2">
        <v>1500</v>
      </c>
      <c r="BS7" s="2">
        <v>10000</v>
      </c>
      <c r="BT7" s="2">
        <v>10000</v>
      </c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H7" s="188" t="s">
        <v>122</v>
      </c>
      <c r="CI7" s="150" t="s">
        <v>1036</v>
      </c>
      <c r="CJ7" s="2">
        <v>250</v>
      </c>
      <c r="CK7" s="2">
        <v>2500</v>
      </c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DE7" s="68" t="s">
        <v>0</v>
      </c>
      <c r="DF7" s="7" t="s">
        <v>1</v>
      </c>
      <c r="DG7" s="7" t="s">
        <v>2</v>
      </c>
      <c r="DH7" s="7" t="s">
        <v>3</v>
      </c>
      <c r="DI7" s="7" t="s">
        <v>4</v>
      </c>
      <c r="DJ7" s="7" t="s">
        <v>5</v>
      </c>
      <c r="DK7" s="7" t="s">
        <v>6</v>
      </c>
      <c r="DL7" s="7" t="s">
        <v>7</v>
      </c>
      <c r="DM7" s="7" t="s">
        <v>8</v>
      </c>
      <c r="DN7" s="7" t="s">
        <v>9</v>
      </c>
      <c r="DO7" s="7" t="s">
        <v>10</v>
      </c>
      <c r="DP7" s="7" t="s">
        <v>11</v>
      </c>
      <c r="DQ7" s="7" t="s">
        <v>12</v>
      </c>
      <c r="DR7" s="7" t="s">
        <v>13</v>
      </c>
      <c r="DS7" s="7" t="s">
        <v>14</v>
      </c>
      <c r="EC7" s="7" t="s">
        <v>0</v>
      </c>
      <c r="ED7" s="7" t="s">
        <v>1</v>
      </c>
      <c r="EE7" s="7" t="s">
        <v>2</v>
      </c>
      <c r="EF7" s="7" t="s">
        <v>3</v>
      </c>
      <c r="EG7" s="7" t="s">
        <v>4</v>
      </c>
      <c r="EH7" s="7" t="s">
        <v>5</v>
      </c>
      <c r="EI7" s="7" t="s">
        <v>6</v>
      </c>
      <c r="EJ7" s="7" t="s">
        <v>7</v>
      </c>
      <c r="EK7" s="7" t="s">
        <v>8</v>
      </c>
      <c r="EL7" s="7" t="s">
        <v>9</v>
      </c>
      <c r="EM7" s="7" t="s">
        <v>10</v>
      </c>
      <c r="EN7" s="7" t="s">
        <v>11</v>
      </c>
      <c r="EO7" s="7" t="s">
        <v>12</v>
      </c>
      <c r="EP7" s="7" t="s">
        <v>13</v>
      </c>
      <c r="EQ7" s="7" t="s">
        <v>14</v>
      </c>
      <c r="EW7" s="150" t="s">
        <v>719</v>
      </c>
      <c r="EX7" s="150"/>
      <c r="EY7" s="2"/>
      <c r="EZ7" s="2">
        <v>2500</v>
      </c>
      <c r="FA7" s="2"/>
      <c r="FB7" s="2"/>
      <c r="FC7" s="2"/>
      <c r="FD7" s="2"/>
      <c r="FE7" s="2"/>
      <c r="FF7" s="2"/>
      <c r="FG7" s="2"/>
      <c r="FH7" s="2"/>
      <c r="FI7" s="2"/>
      <c r="FJ7" s="2"/>
      <c r="FK7" s="2"/>
      <c r="FN7" s="158" t="s">
        <v>823</v>
      </c>
      <c r="FO7" s="150"/>
      <c r="FP7" s="2"/>
      <c r="FQ7" s="32"/>
      <c r="FR7" s="2">
        <v>1000</v>
      </c>
      <c r="FS7" s="2"/>
      <c r="FT7" s="2"/>
      <c r="FU7" s="2"/>
      <c r="FV7" s="2"/>
      <c r="FW7" s="2"/>
      <c r="FX7" s="2"/>
      <c r="FY7" s="2"/>
      <c r="FZ7" s="2"/>
      <c r="GA7" s="2"/>
      <c r="GB7" s="2"/>
      <c r="GC7" s="2"/>
    </row>
    <row r="8" spans="2:185" x14ac:dyDescent="0.25">
      <c r="B8" s="148" t="s">
        <v>15</v>
      </c>
      <c r="C8" s="150" t="s">
        <v>1000</v>
      </c>
      <c r="D8" s="2">
        <v>250</v>
      </c>
      <c r="E8" s="2">
        <v>2500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R8" s="180" t="s">
        <v>17</v>
      </c>
      <c r="S8" s="150" t="s">
        <v>18</v>
      </c>
      <c r="T8" s="2">
        <v>250</v>
      </c>
      <c r="U8" s="2">
        <v>2500</v>
      </c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H8" s="158" t="s">
        <v>20</v>
      </c>
      <c r="AI8" s="150" t="s">
        <v>21</v>
      </c>
      <c r="AJ8" s="2">
        <v>250</v>
      </c>
      <c r="AK8" s="2"/>
      <c r="AL8" s="2">
        <v>2500</v>
      </c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Y8" s="170" t="s">
        <v>32</v>
      </c>
      <c r="AZ8" s="150" t="s">
        <v>34</v>
      </c>
      <c r="BA8" s="2">
        <v>250</v>
      </c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O8" s="173"/>
      <c r="BP8" s="151"/>
      <c r="BQ8" s="2" t="s">
        <v>77</v>
      </c>
      <c r="BR8" s="2" t="s">
        <v>167</v>
      </c>
      <c r="BS8" s="2" t="s">
        <v>94</v>
      </c>
      <c r="BT8" s="2" t="s">
        <v>836</v>
      </c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H8" s="189"/>
      <c r="CI8" s="151"/>
      <c r="CJ8" s="2" t="s">
        <v>123</v>
      </c>
      <c r="CK8" s="2" t="s">
        <v>123</v>
      </c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DE8" s="170" t="s">
        <v>152</v>
      </c>
      <c r="DF8" s="150" t="s">
        <v>153</v>
      </c>
      <c r="DG8" s="2">
        <v>250</v>
      </c>
      <c r="DH8" s="2">
        <v>1875</v>
      </c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EC8" s="150" t="s">
        <v>162</v>
      </c>
      <c r="ED8" s="150" t="s">
        <v>447</v>
      </c>
      <c r="EE8" s="2">
        <v>250</v>
      </c>
      <c r="EF8" s="2">
        <v>2500</v>
      </c>
      <c r="EG8" s="2"/>
      <c r="EH8" s="2"/>
      <c r="EI8" s="2"/>
      <c r="EJ8" s="2"/>
      <c r="EK8" s="2"/>
      <c r="EL8" s="2"/>
      <c r="EM8" s="2"/>
      <c r="EN8" s="2"/>
      <c r="EO8" s="2"/>
      <c r="EP8" s="2"/>
      <c r="EQ8" s="2"/>
      <c r="EW8" s="151"/>
      <c r="EX8" s="151"/>
      <c r="EY8" s="2"/>
      <c r="EZ8" s="2" t="s">
        <v>720</v>
      </c>
      <c r="FA8" s="2"/>
      <c r="FB8" s="2"/>
      <c r="FC8" s="2"/>
      <c r="FD8" s="2"/>
      <c r="FE8" s="2"/>
      <c r="FF8" s="2"/>
      <c r="FG8" s="2"/>
      <c r="FH8" s="2"/>
      <c r="FI8" s="2"/>
      <c r="FJ8" s="2"/>
      <c r="FK8" s="2"/>
      <c r="FN8" s="159"/>
      <c r="FO8" s="151"/>
      <c r="FP8" s="2"/>
      <c r="FQ8" s="32"/>
      <c r="FR8" s="2" t="s">
        <v>824</v>
      </c>
      <c r="FS8" s="2"/>
      <c r="FT8" s="2"/>
      <c r="FU8" s="2"/>
      <c r="FV8" s="2"/>
      <c r="FW8" s="2"/>
      <c r="FX8" s="2"/>
      <c r="FY8" s="2"/>
      <c r="FZ8" s="2"/>
      <c r="GA8" s="2"/>
      <c r="GB8" s="2"/>
      <c r="GC8" s="2"/>
    </row>
    <row r="9" spans="2:185" x14ac:dyDescent="0.25">
      <c r="B9" s="149"/>
      <c r="C9" s="151"/>
      <c r="D9" s="2" t="s">
        <v>16</v>
      </c>
      <c r="E9" s="2" t="s">
        <v>16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R9" s="181"/>
      <c r="S9" s="151"/>
      <c r="T9" s="2" t="s">
        <v>19</v>
      </c>
      <c r="U9" s="2" t="s">
        <v>258</v>
      </c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H9" s="159"/>
      <c r="AI9" s="151"/>
      <c r="AJ9" s="2" t="s">
        <v>137</v>
      </c>
      <c r="AK9" s="2"/>
      <c r="AL9" s="2" t="s">
        <v>139</v>
      </c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Y9" s="171"/>
      <c r="AZ9" s="151"/>
      <c r="BA9" s="2" t="s">
        <v>33</v>
      </c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O9" s="172" t="s">
        <v>78</v>
      </c>
      <c r="BP9" s="150" t="s">
        <v>79</v>
      </c>
      <c r="BQ9" s="2">
        <v>250</v>
      </c>
      <c r="BR9" s="2">
        <v>1500</v>
      </c>
      <c r="BS9" s="2">
        <v>10000</v>
      </c>
      <c r="BT9" s="2">
        <v>10000</v>
      </c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H9" s="188" t="s">
        <v>168</v>
      </c>
      <c r="CI9" s="150" t="s">
        <v>1037</v>
      </c>
      <c r="CJ9" s="2">
        <v>250</v>
      </c>
      <c r="CK9" s="2">
        <v>2500</v>
      </c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DE9" s="171"/>
      <c r="DF9" s="151"/>
      <c r="DG9" s="2" t="s">
        <v>615</v>
      </c>
      <c r="DH9" s="2" t="s">
        <v>615</v>
      </c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EC9" s="151"/>
      <c r="ED9" s="151"/>
      <c r="EE9" s="2" t="s">
        <v>488</v>
      </c>
      <c r="EF9" s="2" t="s">
        <v>488</v>
      </c>
      <c r="EG9" s="2"/>
      <c r="EH9" s="2"/>
      <c r="EI9" s="2"/>
      <c r="EJ9" s="2"/>
      <c r="EK9" s="2"/>
      <c r="EL9" s="2"/>
      <c r="EM9" s="2"/>
      <c r="EN9" s="2"/>
      <c r="EO9" s="2"/>
      <c r="EP9" s="2"/>
      <c r="EQ9" s="2"/>
      <c r="EW9" s="150" t="s">
        <v>722</v>
      </c>
      <c r="EX9" s="150"/>
      <c r="EY9" s="2"/>
      <c r="EZ9" s="2">
        <v>2500</v>
      </c>
      <c r="FA9" s="2"/>
      <c r="FB9" s="2"/>
      <c r="FC9" s="2"/>
      <c r="FD9" s="2"/>
      <c r="FE9" s="2"/>
      <c r="FF9" s="2"/>
      <c r="FG9" s="2"/>
      <c r="FH9" s="2"/>
      <c r="FI9" s="2"/>
      <c r="FJ9" s="2"/>
      <c r="FK9" s="2"/>
      <c r="FN9" s="158" t="s">
        <v>904</v>
      </c>
      <c r="FO9" s="150" t="s">
        <v>905</v>
      </c>
      <c r="FP9" s="2">
        <v>250</v>
      </c>
      <c r="FQ9" s="32"/>
      <c r="FR9" s="2">
        <v>2500</v>
      </c>
      <c r="FS9" s="2"/>
      <c r="FT9" s="2"/>
      <c r="FU9" s="2"/>
      <c r="FV9" s="2"/>
      <c r="FW9" s="2"/>
      <c r="FX9" s="2"/>
      <c r="FY9" s="2"/>
      <c r="FZ9" s="2"/>
      <c r="GA9" s="2"/>
      <c r="GB9" s="2"/>
      <c r="GC9" s="2"/>
    </row>
    <row r="10" spans="2:185" x14ac:dyDescent="0.25">
      <c r="B10" s="148" t="s">
        <v>49</v>
      </c>
      <c r="C10" s="150" t="s">
        <v>1001</v>
      </c>
      <c r="D10" s="2">
        <v>250</v>
      </c>
      <c r="E10" s="2">
        <v>2500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R10" s="180" t="s">
        <v>51</v>
      </c>
      <c r="S10" s="150" t="s">
        <v>53</v>
      </c>
      <c r="T10" s="2">
        <v>250</v>
      </c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H10" s="158" t="s">
        <v>22</v>
      </c>
      <c r="AI10" s="150" t="s">
        <v>23</v>
      </c>
      <c r="AJ10" s="2">
        <v>250</v>
      </c>
      <c r="AK10" s="2"/>
      <c r="AL10" s="2">
        <v>2500</v>
      </c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Y10" s="170" t="s">
        <v>46</v>
      </c>
      <c r="AZ10" s="150" t="s">
        <v>48</v>
      </c>
      <c r="BA10" s="2">
        <v>250</v>
      </c>
      <c r="BB10" s="2">
        <v>3000</v>
      </c>
      <c r="BC10" s="2">
        <v>3000</v>
      </c>
      <c r="BD10" s="2"/>
      <c r="BE10" s="2"/>
      <c r="BF10" s="2"/>
      <c r="BG10" s="2"/>
      <c r="BH10" s="2"/>
      <c r="BI10" s="2"/>
      <c r="BJ10" s="2"/>
      <c r="BK10" s="2"/>
      <c r="BL10" s="2"/>
      <c r="BM10" s="2"/>
      <c r="BO10" s="173"/>
      <c r="BP10" s="151"/>
      <c r="BQ10" s="2" t="s">
        <v>445</v>
      </c>
      <c r="BR10" s="2" t="s">
        <v>167</v>
      </c>
      <c r="BS10" s="2" t="s">
        <v>89</v>
      </c>
      <c r="BT10" s="2" t="s">
        <v>832</v>
      </c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H10" s="189"/>
      <c r="CI10" s="151"/>
      <c r="CJ10" s="2" t="s">
        <v>169</v>
      </c>
      <c r="CK10" s="2" t="s">
        <v>169</v>
      </c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DE10" s="170" t="s">
        <v>154</v>
      </c>
      <c r="DF10" s="150" t="s">
        <v>119</v>
      </c>
      <c r="DG10" s="2">
        <v>250</v>
      </c>
      <c r="DH10" s="2">
        <v>1750</v>
      </c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  <c r="EC10" s="150" t="s">
        <v>161</v>
      </c>
      <c r="ED10" s="150" t="s">
        <v>446</v>
      </c>
      <c r="EE10" s="2">
        <v>250</v>
      </c>
      <c r="EF10" s="2">
        <v>2500</v>
      </c>
      <c r="EG10" s="2"/>
      <c r="EH10" s="2"/>
      <c r="EI10" s="2"/>
      <c r="EJ10" s="2"/>
      <c r="EK10" s="2"/>
      <c r="EL10" s="2"/>
      <c r="EM10" s="2"/>
      <c r="EN10" s="2"/>
      <c r="EO10" s="2"/>
      <c r="EP10" s="2"/>
      <c r="EQ10" s="2"/>
      <c r="EW10" s="151"/>
      <c r="EX10" s="151"/>
      <c r="EY10" s="2"/>
      <c r="EZ10" s="2" t="s">
        <v>723</v>
      </c>
      <c r="FA10" s="2"/>
      <c r="FB10" s="2"/>
      <c r="FC10" s="2"/>
      <c r="FD10" s="2"/>
      <c r="FE10" s="2"/>
      <c r="FF10" s="2"/>
      <c r="FG10" s="2"/>
      <c r="FH10" s="2"/>
      <c r="FI10" s="2"/>
      <c r="FJ10" s="2"/>
      <c r="FK10" s="2"/>
      <c r="FN10" s="159"/>
      <c r="FO10" s="151"/>
      <c r="FP10" s="2" t="s">
        <v>906</v>
      </c>
      <c r="FQ10" s="32"/>
      <c r="FR10" s="2" t="s">
        <v>1205</v>
      </c>
      <c r="FS10" s="2"/>
      <c r="FT10" s="2"/>
      <c r="FU10" s="2"/>
      <c r="FV10" s="2"/>
      <c r="FW10" s="2"/>
      <c r="FX10" s="2"/>
      <c r="FY10" s="2"/>
      <c r="FZ10" s="2"/>
      <c r="GA10" s="2"/>
      <c r="GB10" s="2"/>
      <c r="GC10" s="2"/>
    </row>
    <row r="11" spans="2:185" x14ac:dyDescent="0.25">
      <c r="B11" s="149"/>
      <c r="C11" s="151"/>
      <c r="D11" s="2" t="s">
        <v>50</v>
      </c>
      <c r="E11" s="2" t="s">
        <v>170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R11" s="181"/>
      <c r="S11" s="151"/>
      <c r="T11" s="2" t="s">
        <v>52</v>
      </c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H11" s="159"/>
      <c r="AI11" s="151"/>
      <c r="AJ11" s="2" t="s">
        <v>24</v>
      </c>
      <c r="AK11" s="2"/>
      <c r="AL11" s="2" t="s">
        <v>24</v>
      </c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Y11" s="171"/>
      <c r="AZ11" s="151"/>
      <c r="BA11" s="2" t="s">
        <v>47</v>
      </c>
      <c r="BB11" s="2" t="s">
        <v>479</v>
      </c>
      <c r="BC11" s="2" t="s">
        <v>1217</v>
      </c>
      <c r="BD11" s="2"/>
      <c r="BE11" s="2"/>
      <c r="BF11" s="2"/>
      <c r="BG11" s="2"/>
      <c r="BH11" s="2"/>
      <c r="BI11" s="2"/>
      <c r="BJ11" s="2"/>
      <c r="BK11" s="2"/>
      <c r="BL11" s="2"/>
      <c r="BM11" s="2"/>
      <c r="BO11" s="172" t="s">
        <v>80</v>
      </c>
      <c r="BP11" s="150" t="s">
        <v>81</v>
      </c>
      <c r="BQ11" s="2">
        <v>250</v>
      </c>
      <c r="BR11" s="2">
        <v>1500</v>
      </c>
      <c r="BS11" s="2">
        <v>10000</v>
      </c>
      <c r="BT11" s="2">
        <v>10000</v>
      </c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H11" s="188" t="s">
        <v>482</v>
      </c>
      <c r="CI11" s="150" t="s">
        <v>1007</v>
      </c>
      <c r="CJ11" s="2">
        <v>250</v>
      </c>
      <c r="CK11" s="2">
        <v>2500</v>
      </c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DE11" s="171"/>
      <c r="DF11" s="151"/>
      <c r="DG11" s="2" t="s">
        <v>612</v>
      </c>
      <c r="DH11" s="2" t="s">
        <v>612</v>
      </c>
      <c r="DI11" s="2"/>
      <c r="DJ11" s="2"/>
      <c r="DK11" s="2"/>
      <c r="DL11" s="2"/>
      <c r="DM11" s="2"/>
      <c r="DN11" s="2"/>
      <c r="DO11" s="2"/>
      <c r="DP11" s="2"/>
      <c r="DQ11" s="2"/>
      <c r="DR11" s="2"/>
      <c r="DS11" s="2"/>
      <c r="EC11" s="151"/>
      <c r="ED11" s="151"/>
      <c r="EE11" s="2" t="s">
        <v>163</v>
      </c>
      <c r="EF11" s="2" t="s">
        <v>489</v>
      </c>
      <c r="EG11" s="2"/>
      <c r="EH11" s="2"/>
      <c r="EI11" s="2"/>
      <c r="EJ11" s="2"/>
      <c r="EK11" s="2"/>
      <c r="EL11" s="2"/>
      <c r="EM11" s="2"/>
      <c r="EN11" s="2"/>
      <c r="EO11" s="2"/>
      <c r="EP11" s="2"/>
      <c r="EQ11" s="2"/>
      <c r="EW11" s="150" t="s">
        <v>724</v>
      </c>
      <c r="EX11" s="150"/>
      <c r="EY11" s="2"/>
      <c r="EZ11" s="2">
        <v>2500</v>
      </c>
      <c r="FA11" s="2"/>
      <c r="FB11" s="2"/>
      <c r="FC11" s="2"/>
      <c r="FD11" s="2"/>
      <c r="FE11" s="2"/>
      <c r="FF11" s="2"/>
      <c r="FG11" s="2"/>
      <c r="FH11" s="2"/>
      <c r="FI11" s="2"/>
      <c r="FJ11" s="2"/>
      <c r="FK11" s="2"/>
      <c r="FN11" s="158" t="s">
        <v>829</v>
      </c>
      <c r="FO11" s="150" t="s">
        <v>999</v>
      </c>
      <c r="FP11" s="2">
        <v>250</v>
      </c>
      <c r="FQ11" s="32"/>
      <c r="FR11" s="2">
        <v>2500</v>
      </c>
      <c r="FS11" s="2"/>
      <c r="FT11" s="2"/>
      <c r="FU11" s="2"/>
      <c r="FV11" s="2"/>
      <c r="FW11" s="2"/>
      <c r="FX11" s="2"/>
      <c r="FY11" s="2"/>
      <c r="FZ11" s="2"/>
      <c r="GA11" s="2"/>
      <c r="GB11" s="2"/>
      <c r="GC11" s="2"/>
    </row>
    <row r="12" spans="2:185" x14ac:dyDescent="0.25">
      <c r="B12" s="148" t="s">
        <v>91</v>
      </c>
      <c r="C12" s="150" t="s">
        <v>92</v>
      </c>
      <c r="D12" s="2">
        <v>250</v>
      </c>
      <c r="E12" s="2">
        <v>2500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R12" s="180" t="s">
        <v>112</v>
      </c>
      <c r="S12" s="150" t="s">
        <v>113</v>
      </c>
      <c r="T12" s="2">
        <v>250</v>
      </c>
      <c r="U12" s="2">
        <v>2500</v>
      </c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H12" s="158" t="s">
        <v>25</v>
      </c>
      <c r="AI12" s="150" t="s">
        <v>26</v>
      </c>
      <c r="AJ12" s="2">
        <v>250</v>
      </c>
      <c r="AK12" s="2"/>
      <c r="AL12" s="2">
        <v>2500</v>
      </c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Y12" s="170" t="s">
        <v>98</v>
      </c>
      <c r="AZ12" s="150" t="s">
        <v>984</v>
      </c>
      <c r="BA12" s="2">
        <v>250</v>
      </c>
      <c r="BB12" s="2">
        <v>3000</v>
      </c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O12" s="173"/>
      <c r="BP12" s="151"/>
      <c r="BQ12" s="2" t="s">
        <v>86</v>
      </c>
      <c r="BR12" s="2" t="s">
        <v>150</v>
      </c>
      <c r="BS12" s="2" t="s">
        <v>90</v>
      </c>
      <c r="BT12" s="2" t="s">
        <v>833</v>
      </c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H12" s="189"/>
      <c r="CI12" s="151"/>
      <c r="CJ12" s="2" t="s">
        <v>483</v>
      </c>
      <c r="CK12" s="2" t="s">
        <v>483</v>
      </c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DE12" s="170" t="s">
        <v>155</v>
      </c>
      <c r="DF12" s="150" t="s">
        <v>156</v>
      </c>
      <c r="DG12" s="2">
        <v>250</v>
      </c>
      <c r="DH12" s="2">
        <v>1875</v>
      </c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/>
      <c r="EC12" s="150" t="s">
        <v>474</v>
      </c>
      <c r="ED12" s="150" t="s">
        <v>979</v>
      </c>
      <c r="EE12" s="2">
        <v>250</v>
      </c>
      <c r="EF12" s="2">
        <v>2500</v>
      </c>
      <c r="EG12" s="2"/>
      <c r="EH12" s="2"/>
      <c r="EI12" s="2"/>
      <c r="EJ12" s="2"/>
      <c r="EK12" s="2"/>
      <c r="EL12" s="2"/>
      <c r="EM12" s="2"/>
      <c r="EN12" s="2"/>
      <c r="EO12" s="2"/>
      <c r="EP12" s="2"/>
      <c r="EQ12" s="2"/>
      <c r="EW12" s="151"/>
      <c r="EX12" s="151"/>
      <c r="EY12" s="2"/>
      <c r="EZ12" s="2" t="s">
        <v>725</v>
      </c>
      <c r="FA12" s="2"/>
      <c r="FB12" s="2"/>
      <c r="FC12" s="2"/>
      <c r="FD12" s="2"/>
      <c r="FE12" s="2"/>
      <c r="FF12" s="2"/>
      <c r="FG12" s="2"/>
      <c r="FH12" s="2"/>
      <c r="FI12" s="2"/>
      <c r="FJ12" s="2"/>
      <c r="FK12" s="2"/>
      <c r="FN12" s="159"/>
      <c r="FO12" s="151"/>
      <c r="FP12" s="2" t="s">
        <v>830</v>
      </c>
      <c r="FQ12" s="32"/>
      <c r="FR12" s="2" t="s">
        <v>830</v>
      </c>
      <c r="FS12" s="2"/>
      <c r="FT12" s="2"/>
      <c r="FU12" s="2"/>
      <c r="FV12" s="2"/>
      <c r="FW12" s="2"/>
      <c r="FX12" s="2"/>
      <c r="FY12" s="2"/>
      <c r="FZ12" s="2"/>
      <c r="GA12" s="2"/>
      <c r="GB12" s="2"/>
      <c r="GC12" s="2"/>
    </row>
    <row r="13" spans="2:185" x14ac:dyDescent="0.25">
      <c r="B13" s="149"/>
      <c r="C13" s="151"/>
      <c r="D13" s="2" t="s">
        <v>93</v>
      </c>
      <c r="E13" s="2" t="s">
        <v>93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R13" s="181"/>
      <c r="S13" s="151"/>
      <c r="T13" s="2" t="s">
        <v>116</v>
      </c>
      <c r="U13" s="2" t="s">
        <v>259</v>
      </c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H13" s="159"/>
      <c r="AI13" s="151"/>
      <c r="AJ13" s="2" t="s">
        <v>27</v>
      </c>
      <c r="AK13" s="2"/>
      <c r="AL13" s="2" t="s">
        <v>27</v>
      </c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Y13" s="171"/>
      <c r="AZ13" s="151"/>
      <c r="BA13" s="2" t="s">
        <v>99</v>
      </c>
      <c r="BB13" s="2" t="s">
        <v>99</v>
      </c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O13" s="172" t="s">
        <v>82</v>
      </c>
      <c r="BP13" s="150" t="s">
        <v>83</v>
      </c>
      <c r="BQ13" s="2">
        <v>250</v>
      </c>
      <c r="BR13" s="2">
        <v>1500</v>
      </c>
      <c r="BS13" s="2">
        <v>10000</v>
      </c>
      <c r="BT13" s="2">
        <v>10000</v>
      </c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H13" s="188" t="s">
        <v>486</v>
      </c>
      <c r="CI13" s="150" t="s">
        <v>1006</v>
      </c>
      <c r="CJ13" s="2">
        <v>250</v>
      </c>
      <c r="CK13" s="2">
        <v>2500</v>
      </c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DE13" s="171"/>
      <c r="DF13" s="151"/>
      <c r="DG13" s="2" t="s">
        <v>613</v>
      </c>
      <c r="DH13" s="2" t="s">
        <v>613</v>
      </c>
      <c r="DI13" s="2"/>
      <c r="DJ13" s="2"/>
      <c r="DK13" s="2"/>
      <c r="DL13" s="2"/>
      <c r="DM13" s="2"/>
      <c r="DN13" s="2"/>
      <c r="DO13" s="2"/>
      <c r="DP13" s="2"/>
      <c r="DQ13" s="2"/>
      <c r="DR13" s="2"/>
      <c r="DS13" s="2"/>
      <c r="EC13" s="151"/>
      <c r="ED13" s="151"/>
      <c r="EE13" s="2" t="s">
        <v>475</v>
      </c>
      <c r="EF13" s="2" t="s">
        <v>475</v>
      </c>
      <c r="EG13" s="2"/>
      <c r="EH13" s="2"/>
      <c r="EI13" s="2"/>
      <c r="EJ13" s="2"/>
      <c r="EK13" s="2"/>
      <c r="EL13" s="2"/>
      <c r="EM13" s="2"/>
      <c r="EN13" s="2"/>
      <c r="EO13" s="2"/>
      <c r="EP13" s="2"/>
      <c r="EQ13" s="2"/>
      <c r="EW13" s="168" t="s">
        <v>768</v>
      </c>
      <c r="EX13" s="150" t="s">
        <v>769</v>
      </c>
      <c r="EY13" s="2">
        <v>250</v>
      </c>
      <c r="EZ13" s="2">
        <v>2500</v>
      </c>
      <c r="FA13" s="2"/>
      <c r="FB13" s="2"/>
      <c r="FC13" s="2"/>
      <c r="FD13" s="2"/>
      <c r="FE13" s="2"/>
      <c r="FF13" s="2"/>
      <c r="FG13" s="2"/>
      <c r="FH13" s="2"/>
      <c r="FI13" s="2"/>
      <c r="FJ13" s="2"/>
      <c r="FK13" s="2"/>
      <c r="FN13" s="158" t="s">
        <v>1203</v>
      </c>
      <c r="FO13" s="150"/>
      <c r="FP13" s="2">
        <v>250</v>
      </c>
      <c r="FQ13" s="32"/>
      <c r="FR13" s="2">
        <v>2500</v>
      </c>
      <c r="FS13" s="2"/>
      <c r="FT13" s="2"/>
      <c r="FU13" s="2"/>
      <c r="FV13" s="2"/>
      <c r="FW13" s="2"/>
      <c r="FX13" s="2"/>
      <c r="FY13" s="2"/>
      <c r="FZ13" s="2"/>
      <c r="GA13" s="2"/>
      <c r="GB13" s="2"/>
      <c r="GC13" s="2"/>
    </row>
    <row r="14" spans="2:185" x14ac:dyDescent="0.25">
      <c r="B14" s="148" t="s">
        <v>164</v>
      </c>
      <c r="C14" s="150" t="s">
        <v>165</v>
      </c>
      <c r="D14" s="2">
        <v>250</v>
      </c>
      <c r="E14" s="2">
        <v>2500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R14" s="180" t="s">
        <v>114</v>
      </c>
      <c r="S14" s="150" t="s">
        <v>115</v>
      </c>
      <c r="T14" s="2">
        <v>250</v>
      </c>
      <c r="U14" s="2">
        <v>2500</v>
      </c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H14" s="158" t="s">
        <v>28</v>
      </c>
      <c r="AI14" s="150" t="s">
        <v>29</v>
      </c>
      <c r="AJ14" s="2">
        <v>250</v>
      </c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Y14" s="170" t="s">
        <v>1376</v>
      </c>
      <c r="AZ14" s="150"/>
      <c r="BA14" s="2"/>
      <c r="BB14" s="2">
        <v>2000</v>
      </c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O14" s="173"/>
      <c r="BP14" s="151"/>
      <c r="BQ14" s="2" t="s">
        <v>87</v>
      </c>
      <c r="BR14" s="2" t="s">
        <v>138</v>
      </c>
      <c r="BS14" s="2" t="s">
        <v>87</v>
      </c>
      <c r="BT14" s="2" t="s">
        <v>1202</v>
      </c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H14" s="189"/>
      <c r="CI14" s="151"/>
      <c r="CJ14" s="2" t="s">
        <v>487</v>
      </c>
      <c r="CK14" s="2" t="s">
        <v>487</v>
      </c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DE14" s="170" t="s">
        <v>157</v>
      </c>
      <c r="DF14" s="150" t="s">
        <v>158</v>
      </c>
      <c r="DG14" s="2">
        <v>250</v>
      </c>
      <c r="DH14" s="2">
        <v>1875</v>
      </c>
      <c r="DI14" s="2"/>
      <c r="DJ14" s="2"/>
      <c r="DK14" s="2"/>
      <c r="DL14" s="2"/>
      <c r="DM14" s="2"/>
      <c r="DN14" s="2"/>
      <c r="DO14" s="2"/>
      <c r="DP14" s="2"/>
      <c r="DQ14" s="2"/>
      <c r="DR14" s="2"/>
      <c r="DS14" s="2"/>
      <c r="EC14" s="150" t="s">
        <v>477</v>
      </c>
      <c r="ED14" s="150" t="s">
        <v>978</v>
      </c>
      <c r="EE14" s="2"/>
      <c r="EF14" s="2">
        <v>650</v>
      </c>
      <c r="EG14" s="2"/>
      <c r="EH14" s="2"/>
      <c r="EI14" s="2"/>
      <c r="EJ14" s="2"/>
      <c r="EK14" s="2"/>
      <c r="EL14" s="2"/>
      <c r="EM14" s="2"/>
      <c r="EN14" s="2"/>
      <c r="EO14" s="2"/>
      <c r="EP14" s="2"/>
      <c r="EQ14" s="2"/>
      <c r="EW14" s="169"/>
      <c r="EX14" s="151"/>
      <c r="EY14" s="2" t="s">
        <v>884</v>
      </c>
      <c r="EZ14" s="2" t="s">
        <v>884</v>
      </c>
      <c r="FA14" s="2"/>
      <c r="FB14" s="2"/>
      <c r="FC14" s="2"/>
      <c r="FD14" s="2"/>
      <c r="FE14" s="2"/>
      <c r="FF14" s="2"/>
      <c r="FG14" s="2"/>
      <c r="FH14" s="2"/>
      <c r="FI14" s="2"/>
      <c r="FJ14" s="2"/>
      <c r="FK14" s="2"/>
      <c r="FN14" s="159"/>
      <c r="FO14" s="151"/>
      <c r="FP14" s="2" t="s">
        <v>1204</v>
      </c>
      <c r="FQ14" s="32"/>
      <c r="FR14" s="2" t="s">
        <v>1204</v>
      </c>
      <c r="FS14" s="2"/>
      <c r="FT14" s="2"/>
      <c r="FU14" s="2"/>
      <c r="FV14" s="2"/>
      <c r="FW14" s="2"/>
      <c r="FX14" s="2"/>
      <c r="FY14" s="2"/>
      <c r="FZ14" s="2"/>
      <c r="GA14" s="2"/>
      <c r="GB14" s="2"/>
      <c r="GC14" s="2"/>
    </row>
    <row r="15" spans="2:185" x14ac:dyDescent="0.25">
      <c r="B15" s="149"/>
      <c r="C15" s="151"/>
      <c r="D15" s="2" t="s">
        <v>166</v>
      </c>
      <c r="E15" s="2" t="s">
        <v>166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R15" s="181"/>
      <c r="S15" s="151"/>
      <c r="T15" s="2" t="s">
        <v>448</v>
      </c>
      <c r="U15" s="2" t="s">
        <v>257</v>
      </c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H15" s="159"/>
      <c r="AI15" s="151"/>
      <c r="AJ15" s="2" t="s">
        <v>30</v>
      </c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Y15" s="171"/>
      <c r="AZ15" s="151"/>
      <c r="BA15" s="2"/>
      <c r="BB15" s="2" t="s">
        <v>1377</v>
      </c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O15" s="172" t="s">
        <v>84</v>
      </c>
      <c r="BP15" s="150" t="s">
        <v>85</v>
      </c>
      <c r="BQ15" s="2">
        <v>250</v>
      </c>
      <c r="BR15" s="2">
        <v>3000</v>
      </c>
      <c r="BS15" s="2" t="s">
        <v>108</v>
      </c>
      <c r="BT15" s="2">
        <v>15000</v>
      </c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H15" s="188" t="s">
        <v>490</v>
      </c>
      <c r="CI15" s="150" t="s">
        <v>1005</v>
      </c>
      <c r="CJ15" s="2">
        <v>250</v>
      </c>
      <c r="CK15" s="2">
        <v>2500</v>
      </c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DE15" s="171"/>
      <c r="DF15" s="151"/>
      <c r="DG15" s="2" t="s">
        <v>159</v>
      </c>
      <c r="DH15" s="2" t="s">
        <v>159</v>
      </c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  <c r="EC15" s="151"/>
      <c r="ED15" s="151"/>
      <c r="EE15" s="2"/>
      <c r="EF15" s="2" t="s">
        <v>478</v>
      </c>
      <c r="EG15" s="2"/>
      <c r="EH15" s="2"/>
      <c r="EI15" s="2"/>
      <c r="EJ15" s="2"/>
      <c r="EK15" s="2"/>
      <c r="EL15" s="2"/>
      <c r="EM15" s="2"/>
      <c r="EN15" s="2"/>
      <c r="EO15" s="2"/>
      <c r="EP15" s="2"/>
      <c r="EQ15" s="2"/>
      <c r="EW15" s="150"/>
      <c r="EX15" s="150"/>
      <c r="EY15" s="2"/>
      <c r="EZ15" s="2"/>
      <c r="FA15" s="2"/>
      <c r="FB15" s="2"/>
      <c r="FC15" s="2"/>
      <c r="FD15" s="2"/>
      <c r="FE15" s="2"/>
      <c r="FF15" s="2"/>
      <c r="FG15" s="2"/>
      <c r="FH15" s="2"/>
      <c r="FI15" s="2"/>
      <c r="FJ15" s="2"/>
      <c r="FK15" s="2"/>
      <c r="FN15" s="158" t="s">
        <v>1207</v>
      </c>
      <c r="FO15" s="150"/>
      <c r="FP15" s="2">
        <v>500</v>
      </c>
      <c r="FQ15" s="32">
        <v>1500</v>
      </c>
      <c r="FR15" s="2">
        <v>2500</v>
      </c>
      <c r="FS15" s="2"/>
      <c r="FT15" s="2"/>
      <c r="FU15" s="2"/>
      <c r="FV15" s="2"/>
      <c r="FW15" s="2"/>
      <c r="FX15" s="2"/>
      <c r="FY15" s="2"/>
      <c r="FZ15" s="2"/>
      <c r="GA15" s="2"/>
      <c r="GB15" s="2"/>
      <c r="GC15" s="2"/>
    </row>
    <row r="16" spans="2:185" x14ac:dyDescent="0.25">
      <c r="B16" s="148" t="s">
        <v>171</v>
      </c>
      <c r="C16" s="150" t="s">
        <v>1002</v>
      </c>
      <c r="D16" s="2">
        <v>250</v>
      </c>
      <c r="E16" s="2" t="s">
        <v>1373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R16" s="180" t="s">
        <v>249</v>
      </c>
      <c r="S16" s="150" t="s">
        <v>250</v>
      </c>
      <c r="T16" s="2">
        <v>250</v>
      </c>
      <c r="U16" s="2">
        <v>2500</v>
      </c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H16" s="158" t="s">
        <v>35</v>
      </c>
      <c r="AI16" s="150" t="s">
        <v>36</v>
      </c>
      <c r="AJ16" s="2">
        <v>250</v>
      </c>
      <c r="AK16" s="2"/>
      <c r="AL16" s="2" t="s">
        <v>140</v>
      </c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Y16" s="170" t="s">
        <v>208</v>
      </c>
      <c r="AZ16" s="150" t="s">
        <v>601</v>
      </c>
      <c r="BA16" s="2">
        <v>250</v>
      </c>
      <c r="BB16" s="2">
        <v>3000</v>
      </c>
      <c r="BC16" s="2">
        <v>3000</v>
      </c>
      <c r="BD16" s="2"/>
      <c r="BE16" s="2"/>
      <c r="BF16" s="2"/>
      <c r="BG16" s="2"/>
      <c r="BH16" s="2"/>
      <c r="BI16" s="2"/>
      <c r="BJ16" s="2"/>
      <c r="BK16" s="2"/>
      <c r="BL16" s="2"/>
      <c r="BM16" s="2"/>
      <c r="BO16" s="173"/>
      <c r="BP16" s="151"/>
      <c r="BQ16" s="2" t="s">
        <v>88</v>
      </c>
      <c r="BR16" s="2" t="s">
        <v>126</v>
      </c>
      <c r="BS16" s="2" t="s">
        <v>109</v>
      </c>
      <c r="BT16" s="2" t="s">
        <v>1201</v>
      </c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H16" s="189"/>
      <c r="CI16" s="151"/>
      <c r="CJ16" s="2" t="s">
        <v>491</v>
      </c>
      <c r="CK16" s="2" t="s">
        <v>491</v>
      </c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DE16" s="170" t="s">
        <v>208</v>
      </c>
      <c r="DF16" s="150" t="s">
        <v>209</v>
      </c>
      <c r="DG16" s="2">
        <v>250</v>
      </c>
      <c r="DH16" s="2">
        <v>1875</v>
      </c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  <c r="EC16" s="150" t="s">
        <v>484</v>
      </c>
      <c r="ED16" s="150" t="s">
        <v>980</v>
      </c>
      <c r="EE16" s="2">
        <v>250</v>
      </c>
      <c r="EF16" s="2">
        <v>2500</v>
      </c>
      <c r="EG16" s="2"/>
      <c r="EH16" s="2"/>
      <c r="EI16" s="2"/>
      <c r="EJ16" s="2"/>
      <c r="EK16" s="2"/>
      <c r="EL16" s="2"/>
      <c r="EM16" s="2"/>
      <c r="EN16" s="2"/>
      <c r="EO16" s="2"/>
      <c r="EP16" s="2"/>
      <c r="EQ16" s="2"/>
      <c r="EW16" s="151"/>
      <c r="EX16" s="151"/>
      <c r="EY16" s="2"/>
      <c r="EZ16" s="2"/>
      <c r="FA16" s="2"/>
      <c r="FB16" s="2"/>
      <c r="FC16" s="2"/>
      <c r="FD16" s="2"/>
      <c r="FE16" s="2"/>
      <c r="FF16" s="2"/>
      <c r="FG16" s="2"/>
      <c r="FH16" s="2"/>
      <c r="FI16" s="2"/>
      <c r="FJ16" s="2"/>
      <c r="FK16" s="2"/>
      <c r="FN16" s="159"/>
      <c r="FO16" s="151"/>
      <c r="FP16" s="2" t="s">
        <v>1208</v>
      </c>
      <c r="FQ16" s="32" t="s">
        <v>1209</v>
      </c>
      <c r="FR16" s="2" t="s">
        <v>1208</v>
      </c>
      <c r="FS16" s="2"/>
      <c r="FT16" s="2"/>
      <c r="FU16" s="2"/>
      <c r="FV16" s="2"/>
      <c r="FW16" s="2"/>
      <c r="FX16" s="2"/>
      <c r="FY16" s="2"/>
      <c r="FZ16" s="2"/>
      <c r="GA16" s="2"/>
      <c r="GB16" s="2"/>
      <c r="GC16" s="2"/>
    </row>
    <row r="17" spans="2:185" x14ac:dyDescent="0.25">
      <c r="B17" s="149"/>
      <c r="C17" s="151"/>
      <c r="D17" s="2" t="s">
        <v>1375</v>
      </c>
      <c r="E17" s="2" t="s">
        <v>1374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R17" s="181"/>
      <c r="S17" s="151"/>
      <c r="T17" s="2" t="s">
        <v>251</v>
      </c>
      <c r="U17" s="2" t="s">
        <v>251</v>
      </c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H17" s="159"/>
      <c r="AI17" s="151"/>
      <c r="AJ17" s="2" t="s">
        <v>129</v>
      </c>
      <c r="AK17" s="2"/>
      <c r="AL17" s="2" t="s">
        <v>871</v>
      </c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Y17" s="171"/>
      <c r="AZ17" s="151"/>
      <c r="BA17" s="2" t="s">
        <v>210</v>
      </c>
      <c r="BB17" s="2" t="s">
        <v>210</v>
      </c>
      <c r="BC17" s="2" t="s">
        <v>1378</v>
      </c>
      <c r="BD17" s="2"/>
      <c r="BE17" s="2"/>
      <c r="BF17" s="2"/>
      <c r="BG17" s="2"/>
      <c r="BH17" s="2"/>
      <c r="BI17" s="2"/>
      <c r="BJ17" s="2"/>
      <c r="BK17" s="2"/>
      <c r="BL17" s="2"/>
      <c r="BM17" s="2"/>
      <c r="BO17" s="172" t="s">
        <v>95</v>
      </c>
      <c r="BP17" s="150" t="s">
        <v>96</v>
      </c>
      <c r="BQ17" s="2">
        <v>250</v>
      </c>
      <c r="BR17" s="2">
        <v>1500</v>
      </c>
      <c r="BS17" s="2" t="s">
        <v>105</v>
      </c>
      <c r="BT17" s="2">
        <v>10000</v>
      </c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H17" s="188" t="s">
        <v>492</v>
      </c>
      <c r="CI17" s="150" t="s">
        <v>1004</v>
      </c>
      <c r="CJ17" s="2">
        <v>250</v>
      </c>
      <c r="CK17" s="2">
        <v>2500</v>
      </c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DE17" s="171"/>
      <c r="DF17" s="151"/>
      <c r="DG17" s="2" t="s">
        <v>211</v>
      </c>
      <c r="DH17" s="2" t="s">
        <v>211</v>
      </c>
      <c r="DI17" s="2"/>
      <c r="DJ17" s="2"/>
      <c r="DK17" s="2"/>
      <c r="DL17" s="2"/>
      <c r="DM17" s="2"/>
      <c r="DN17" s="2"/>
      <c r="DO17" s="2"/>
      <c r="DP17" s="2"/>
      <c r="DQ17" s="2"/>
      <c r="DR17" s="2"/>
      <c r="DS17" s="2"/>
      <c r="EC17" s="151"/>
      <c r="ED17" s="151"/>
      <c r="EE17" s="2" t="s">
        <v>485</v>
      </c>
      <c r="EF17" s="2" t="s">
        <v>485</v>
      </c>
      <c r="EG17" s="2"/>
      <c r="EH17" s="2"/>
      <c r="EI17" s="2"/>
      <c r="EJ17" s="2"/>
      <c r="EK17" s="2"/>
      <c r="EL17" s="2"/>
      <c r="EM17" s="2"/>
      <c r="EN17" s="2"/>
      <c r="EO17" s="2"/>
      <c r="EP17" s="2"/>
      <c r="EQ17" s="2"/>
      <c r="EW17" s="150"/>
      <c r="EX17" s="150"/>
      <c r="EY17" s="2"/>
      <c r="EZ17" s="2"/>
      <c r="FA17" s="2"/>
      <c r="FB17" s="2"/>
      <c r="FC17" s="2"/>
      <c r="FD17" s="2"/>
      <c r="FE17" s="2"/>
      <c r="FF17" s="2"/>
      <c r="FG17" s="2"/>
      <c r="FH17" s="2"/>
      <c r="FI17" s="2"/>
      <c r="FJ17" s="2"/>
      <c r="FK17" s="2"/>
      <c r="FN17" s="158" t="s">
        <v>1210</v>
      </c>
      <c r="FO17" s="150"/>
      <c r="FP17" s="2"/>
      <c r="FQ17" s="32"/>
      <c r="FR17" s="2">
        <v>2500</v>
      </c>
      <c r="FS17" s="2"/>
      <c r="FT17" s="2"/>
      <c r="FU17" s="2"/>
      <c r="FV17" s="2"/>
      <c r="FW17" s="2"/>
      <c r="FX17" s="2"/>
      <c r="FY17" s="2"/>
      <c r="FZ17" s="2"/>
      <c r="GA17" s="2"/>
      <c r="GB17" s="2"/>
      <c r="GC17" s="2"/>
    </row>
    <row r="18" spans="2:185" x14ac:dyDescent="0.25">
      <c r="B18" s="148" t="s">
        <v>1371</v>
      </c>
      <c r="C18" s="150"/>
      <c r="D18" s="2">
        <v>250</v>
      </c>
      <c r="E18" s="2">
        <v>1500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R18" s="180" t="s">
        <v>610</v>
      </c>
      <c r="S18" s="150"/>
      <c r="T18" s="2">
        <v>250</v>
      </c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H18" s="158"/>
      <c r="AI18" s="150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Y18" s="170" t="s">
        <v>380</v>
      </c>
      <c r="AZ18" s="150" t="s">
        <v>985</v>
      </c>
      <c r="BA18" s="2">
        <v>250</v>
      </c>
      <c r="BB18" s="2">
        <v>3000</v>
      </c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O18" s="173"/>
      <c r="BP18" s="151"/>
      <c r="BQ18" s="2" t="s">
        <v>107</v>
      </c>
      <c r="BR18" s="2" t="s">
        <v>107</v>
      </c>
      <c r="BS18" s="2" t="s">
        <v>106</v>
      </c>
      <c r="BT18" s="2" t="s">
        <v>834</v>
      </c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H18" s="189"/>
      <c r="CI18" s="151"/>
      <c r="CJ18" s="2" t="s">
        <v>493</v>
      </c>
      <c r="CK18" s="2" t="s">
        <v>493</v>
      </c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DE18" s="170" t="s">
        <v>245</v>
      </c>
      <c r="DF18" s="150" t="s">
        <v>246</v>
      </c>
      <c r="DG18" s="2">
        <v>250</v>
      </c>
      <c r="DH18" s="2">
        <v>1875</v>
      </c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/>
      <c r="EC18" s="150" t="s">
        <v>476</v>
      </c>
      <c r="ED18" s="150" t="s">
        <v>981</v>
      </c>
      <c r="EE18" s="2"/>
      <c r="EF18" s="2" t="s">
        <v>952</v>
      </c>
      <c r="EG18" s="2"/>
      <c r="EH18" s="2"/>
      <c r="EI18" s="2"/>
      <c r="EJ18" s="2"/>
      <c r="EK18" s="2"/>
      <c r="EL18" s="2"/>
      <c r="EM18" s="2"/>
      <c r="EN18" s="2"/>
      <c r="EO18" s="2"/>
      <c r="EP18" s="2"/>
      <c r="EQ18" s="2"/>
      <c r="EW18" s="151"/>
      <c r="EX18" s="151"/>
      <c r="EY18" s="2"/>
      <c r="EZ18" s="2"/>
      <c r="FA18" s="2"/>
      <c r="FB18" s="2"/>
      <c r="FC18" s="2"/>
      <c r="FD18" s="2"/>
      <c r="FE18" s="2"/>
      <c r="FF18" s="2"/>
      <c r="FG18" s="2"/>
      <c r="FH18" s="2"/>
      <c r="FI18" s="2"/>
      <c r="FJ18" s="2"/>
      <c r="FK18" s="2"/>
      <c r="FN18" s="159"/>
      <c r="FO18" s="151"/>
      <c r="FP18" s="2"/>
      <c r="FQ18" s="32"/>
      <c r="FR18" s="2" t="s">
        <v>1211</v>
      </c>
      <c r="FS18" s="2"/>
      <c r="FT18" s="2"/>
      <c r="FU18" s="2"/>
      <c r="FV18" s="2"/>
      <c r="FW18" s="2"/>
      <c r="FX18" s="2"/>
      <c r="FY18" s="2"/>
      <c r="FZ18" s="2"/>
      <c r="GA18" s="2"/>
      <c r="GB18" s="2"/>
      <c r="GC18" s="2"/>
    </row>
    <row r="19" spans="2:185" x14ac:dyDescent="0.25">
      <c r="B19" s="149"/>
      <c r="C19" s="151"/>
      <c r="D19" s="2" t="s">
        <v>1372</v>
      </c>
      <c r="E19" s="2" t="s">
        <v>1372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R19" s="181"/>
      <c r="S19" s="151"/>
      <c r="T19" s="2" t="s">
        <v>611</v>
      </c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H19" s="159"/>
      <c r="AI19" s="151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Y19" s="171"/>
      <c r="AZ19" s="151"/>
      <c r="BA19" s="2" t="s">
        <v>381</v>
      </c>
      <c r="BB19" s="2" t="s">
        <v>381</v>
      </c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O19" s="172" t="s">
        <v>730</v>
      </c>
      <c r="BP19" s="150" t="s">
        <v>1003</v>
      </c>
      <c r="BQ19" s="2">
        <v>250</v>
      </c>
      <c r="BR19" s="2">
        <v>1500</v>
      </c>
      <c r="BS19" s="2">
        <v>10000</v>
      </c>
      <c r="BT19" s="2">
        <v>10000</v>
      </c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H19" s="188" t="s">
        <v>494</v>
      </c>
      <c r="CI19" s="150" t="s">
        <v>1038</v>
      </c>
      <c r="CJ19" s="2">
        <v>250</v>
      </c>
      <c r="CK19" s="2">
        <v>2500</v>
      </c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DE19" s="171"/>
      <c r="DF19" s="151"/>
      <c r="DG19" s="2" t="s">
        <v>247</v>
      </c>
      <c r="DH19" s="2" t="s">
        <v>247</v>
      </c>
      <c r="DI19" s="2"/>
      <c r="DJ19" s="2"/>
      <c r="DK19" s="2"/>
      <c r="DL19" s="2"/>
      <c r="DM19" s="2"/>
      <c r="DN19" s="2"/>
      <c r="DO19" s="2"/>
      <c r="DP19" s="2"/>
      <c r="DQ19" s="2"/>
      <c r="DR19" s="2"/>
      <c r="DS19" s="2"/>
      <c r="EC19" s="151"/>
      <c r="ED19" s="151"/>
      <c r="EE19" s="2"/>
      <c r="EF19" s="2" t="s">
        <v>953</v>
      </c>
      <c r="EG19" s="2"/>
      <c r="EH19" s="2"/>
      <c r="EI19" s="2"/>
      <c r="EJ19" s="2"/>
      <c r="EK19" s="2"/>
      <c r="EL19" s="2"/>
      <c r="EM19" s="2"/>
      <c r="EN19" s="2"/>
      <c r="EO19" s="2"/>
      <c r="EP19" s="2"/>
      <c r="EQ19" s="2"/>
      <c r="EW19" s="150"/>
      <c r="EX19" s="150"/>
      <c r="EY19" s="2"/>
      <c r="EZ19" s="2"/>
      <c r="FA19" s="2"/>
      <c r="FB19" s="2"/>
      <c r="FC19" s="2"/>
      <c r="FD19" s="2"/>
      <c r="FE19" s="2"/>
      <c r="FF19" s="2"/>
      <c r="FG19" s="2"/>
      <c r="FH19" s="2"/>
      <c r="FI19" s="2"/>
      <c r="FJ19" s="2"/>
      <c r="FK19" s="2"/>
      <c r="FN19" s="158" t="s">
        <v>130</v>
      </c>
      <c r="FO19" s="150"/>
      <c r="FP19" s="2"/>
      <c r="FQ19" s="32"/>
      <c r="FR19" s="2">
        <v>2500</v>
      </c>
      <c r="FS19" s="2"/>
      <c r="FT19" s="2"/>
      <c r="FU19" s="2"/>
      <c r="FV19" s="2"/>
      <c r="FW19" s="2"/>
      <c r="FX19" s="2"/>
      <c r="FY19" s="2"/>
      <c r="FZ19" s="2"/>
      <c r="GA19" s="2"/>
      <c r="GB19" s="2"/>
      <c r="GC19" s="2"/>
    </row>
    <row r="20" spans="2:185" x14ac:dyDescent="0.25">
      <c r="B20" s="148"/>
      <c r="C20" s="150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R20" s="180" t="s">
        <v>825</v>
      </c>
      <c r="S20" s="150" t="s">
        <v>989</v>
      </c>
      <c r="T20" s="2"/>
      <c r="U20" s="2">
        <v>650</v>
      </c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H20" s="158" t="s">
        <v>40</v>
      </c>
      <c r="AI20" s="150" t="s">
        <v>41</v>
      </c>
      <c r="AJ20" s="2">
        <v>250</v>
      </c>
      <c r="AK20" s="2"/>
      <c r="AL20" s="2">
        <v>2500</v>
      </c>
      <c r="AM20" s="2">
        <v>2500</v>
      </c>
      <c r="AN20" s="2"/>
      <c r="AO20" s="2"/>
      <c r="AP20" s="2"/>
      <c r="AQ20" s="2"/>
      <c r="AR20" s="2"/>
      <c r="AS20" s="2"/>
      <c r="AT20" s="2"/>
      <c r="AU20" s="2"/>
      <c r="AV20" s="2"/>
      <c r="AW20" s="2"/>
      <c r="AY20" s="170" t="s">
        <v>480</v>
      </c>
      <c r="AZ20" s="150"/>
      <c r="BA20" s="2"/>
      <c r="BB20" s="2">
        <v>500</v>
      </c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O20" s="173"/>
      <c r="BP20" s="151"/>
      <c r="BQ20" s="2" t="s">
        <v>104</v>
      </c>
      <c r="BR20" s="2" t="s">
        <v>149</v>
      </c>
      <c r="BS20" s="2" t="s">
        <v>104</v>
      </c>
      <c r="BT20" s="2" t="s">
        <v>831</v>
      </c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H20" s="189"/>
      <c r="CI20" s="151"/>
      <c r="CJ20" s="2" t="s">
        <v>721</v>
      </c>
      <c r="CK20" s="2" t="s">
        <v>721</v>
      </c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DE20" s="170" t="s">
        <v>98</v>
      </c>
      <c r="DF20" s="150" t="s">
        <v>638</v>
      </c>
      <c r="DG20" s="2">
        <v>250</v>
      </c>
      <c r="DH20" s="2">
        <v>1875</v>
      </c>
      <c r="DI20" s="2"/>
      <c r="DJ20" s="2"/>
      <c r="DK20" s="2"/>
      <c r="DL20" s="2"/>
      <c r="DM20" s="2"/>
      <c r="DN20" s="2"/>
      <c r="DO20" s="2"/>
      <c r="DP20" s="2"/>
      <c r="DQ20" s="2"/>
      <c r="DR20" s="2"/>
      <c r="DS20" s="2"/>
      <c r="EC20" s="150" t="s">
        <v>654</v>
      </c>
      <c r="ED20" s="150"/>
      <c r="EE20" s="2"/>
      <c r="EF20" s="2">
        <v>2500</v>
      </c>
      <c r="EG20" s="2"/>
      <c r="EH20" s="2"/>
      <c r="EI20" s="2"/>
      <c r="EJ20" s="2"/>
      <c r="EK20" s="2"/>
      <c r="EL20" s="2"/>
      <c r="EM20" s="2"/>
      <c r="EN20" s="2"/>
      <c r="EO20" s="2"/>
      <c r="EP20" s="2"/>
      <c r="EQ20" s="2"/>
      <c r="EW20" s="151"/>
      <c r="EX20" s="151"/>
      <c r="EY20" s="2"/>
      <c r="EZ20" s="2"/>
      <c r="FA20" s="2"/>
      <c r="FB20" s="2"/>
      <c r="FC20" s="2"/>
      <c r="FD20" s="2"/>
      <c r="FE20" s="2"/>
      <c r="FF20" s="2"/>
      <c r="FG20" s="2"/>
      <c r="FH20" s="2"/>
      <c r="FI20" s="2"/>
      <c r="FJ20" s="2"/>
      <c r="FK20" s="2"/>
      <c r="FN20" s="159"/>
      <c r="FO20" s="151"/>
      <c r="FP20" s="2"/>
      <c r="FQ20" s="32"/>
      <c r="FR20" s="2" t="s">
        <v>1213</v>
      </c>
      <c r="FS20" s="2"/>
      <c r="FT20" s="2"/>
      <c r="FU20" s="2"/>
      <c r="FV20" s="2"/>
      <c r="FW20" s="2"/>
      <c r="FX20" s="2"/>
      <c r="FY20" s="2"/>
      <c r="FZ20" s="2"/>
      <c r="GA20" s="2"/>
      <c r="GB20" s="2"/>
      <c r="GC20" s="2"/>
    </row>
    <row r="21" spans="2:185" x14ac:dyDescent="0.25">
      <c r="B21" s="149"/>
      <c r="C21" s="151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R21" s="181"/>
      <c r="S21" s="151"/>
      <c r="T21" s="2"/>
      <c r="U21" s="2" t="s">
        <v>826</v>
      </c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H21" s="159"/>
      <c r="AI21" s="151"/>
      <c r="AJ21" s="2" t="s">
        <v>42</v>
      </c>
      <c r="AK21" s="2"/>
      <c r="AL21" s="2" t="s">
        <v>42</v>
      </c>
      <c r="AM21" s="2" t="s">
        <v>1200</v>
      </c>
      <c r="AN21" s="2"/>
      <c r="AO21" s="2"/>
      <c r="AP21" s="2"/>
      <c r="AQ21" s="2"/>
      <c r="AR21" s="2"/>
      <c r="AS21" s="2"/>
      <c r="AT21" s="2"/>
      <c r="AU21" s="2"/>
      <c r="AV21" s="2"/>
      <c r="AW21" s="2"/>
      <c r="AY21" s="171"/>
      <c r="AZ21" s="151"/>
      <c r="BA21" s="2"/>
      <c r="BB21" s="2" t="s">
        <v>481</v>
      </c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O21" s="172" t="s">
        <v>97</v>
      </c>
      <c r="BP21" s="150" t="s">
        <v>741</v>
      </c>
      <c r="BQ21" s="2">
        <v>250</v>
      </c>
      <c r="BR21" s="2">
        <v>1500</v>
      </c>
      <c r="BS21" s="2">
        <v>10000</v>
      </c>
      <c r="BT21" s="2">
        <v>10000</v>
      </c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H21" s="188"/>
      <c r="CI21" s="150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DE21" s="171"/>
      <c r="DF21" s="151"/>
      <c r="DG21" s="2" t="s">
        <v>639</v>
      </c>
      <c r="DH21" s="2" t="s">
        <v>639</v>
      </c>
      <c r="DI21" s="2"/>
      <c r="DJ21" s="2"/>
      <c r="DK21" s="2"/>
      <c r="DL21" s="2"/>
      <c r="DM21" s="2"/>
      <c r="DN21" s="2"/>
      <c r="DO21" s="2"/>
      <c r="DP21" s="2"/>
      <c r="DQ21" s="2"/>
      <c r="DR21" s="2"/>
      <c r="DS21" s="2"/>
      <c r="EC21" s="151"/>
      <c r="ED21" s="151"/>
      <c r="EE21" s="2"/>
      <c r="EF21" s="2" t="s">
        <v>655</v>
      </c>
      <c r="EG21" s="2"/>
      <c r="EH21" s="2"/>
      <c r="EI21" s="2"/>
      <c r="EJ21" s="2"/>
      <c r="EK21" s="2"/>
      <c r="EL21" s="2"/>
      <c r="EM21" s="2"/>
      <c r="EN21" s="2"/>
      <c r="EO21" s="2"/>
      <c r="EP21" s="2"/>
      <c r="EQ21" s="2"/>
      <c r="EW21" s="150"/>
      <c r="EX21" s="150"/>
      <c r="EY21" s="2"/>
      <c r="EZ21" s="2"/>
      <c r="FA21" s="2"/>
      <c r="FB21" s="2"/>
      <c r="FC21" s="2"/>
      <c r="FD21" s="2"/>
      <c r="FE21" s="2"/>
      <c r="FF21" s="2"/>
      <c r="FG21" s="2"/>
      <c r="FH21" s="2"/>
      <c r="FI21" s="2"/>
      <c r="FJ21" s="2"/>
      <c r="FK21" s="2"/>
      <c r="FN21" s="158"/>
      <c r="FO21" s="150"/>
      <c r="FP21" s="2"/>
      <c r="FQ21" s="32"/>
      <c r="FR21" s="2"/>
      <c r="FS21" s="2"/>
      <c r="FT21" s="2"/>
      <c r="FU21" s="2"/>
      <c r="FV21" s="2"/>
      <c r="FW21" s="2"/>
      <c r="FX21" s="2"/>
      <c r="FY21" s="2"/>
      <c r="FZ21" s="2"/>
      <c r="GA21" s="2"/>
      <c r="GB21" s="2"/>
      <c r="GC21" s="2"/>
    </row>
    <row r="22" spans="2:185" x14ac:dyDescent="0.25">
      <c r="B22" s="148"/>
      <c r="C22" s="150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R22" s="180" t="s">
        <v>827</v>
      </c>
      <c r="S22" s="150"/>
      <c r="T22" s="2"/>
      <c r="U22" s="2">
        <v>650</v>
      </c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H22" s="158" t="s">
        <v>43</v>
      </c>
      <c r="AI22" s="150" t="s">
        <v>44</v>
      </c>
      <c r="AJ22" s="2">
        <v>250</v>
      </c>
      <c r="AK22" s="2"/>
      <c r="AL22" s="2">
        <v>2500</v>
      </c>
      <c r="AM22" s="2">
        <v>1000</v>
      </c>
      <c r="AN22" s="2"/>
      <c r="AO22" s="2"/>
      <c r="AP22" s="2"/>
      <c r="AQ22" s="2"/>
      <c r="AR22" s="2"/>
      <c r="AS22" s="2"/>
      <c r="AT22" s="2"/>
      <c r="AU22" s="2"/>
      <c r="AV22" s="2"/>
      <c r="AW22" s="2"/>
      <c r="AY22" s="170" t="s">
        <v>599</v>
      </c>
      <c r="AZ22" s="150" t="s">
        <v>622</v>
      </c>
      <c r="BA22" s="2"/>
      <c r="BB22" s="2">
        <v>3000</v>
      </c>
      <c r="BC22" s="2">
        <v>3000</v>
      </c>
      <c r="BD22" s="2">
        <v>3000</v>
      </c>
      <c r="BE22" s="2"/>
      <c r="BF22" s="2"/>
      <c r="BG22" s="2"/>
      <c r="BH22" s="2"/>
      <c r="BI22" s="2"/>
      <c r="BJ22" s="2"/>
      <c r="BK22" s="2"/>
      <c r="BL22" s="2"/>
      <c r="BM22" s="2"/>
      <c r="BO22" s="173"/>
      <c r="BP22" s="151"/>
      <c r="BQ22" s="2" t="s">
        <v>751</v>
      </c>
      <c r="BR22" s="2" t="s">
        <v>731</v>
      </c>
      <c r="BS22" s="2" t="s">
        <v>751</v>
      </c>
      <c r="BT22" s="2" t="s">
        <v>835</v>
      </c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H22" s="189"/>
      <c r="CI22" s="151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DE22" s="170" t="s">
        <v>640</v>
      </c>
      <c r="DF22" s="150" t="s">
        <v>641</v>
      </c>
      <c r="DG22" s="2">
        <v>250</v>
      </c>
      <c r="DH22" s="2">
        <v>1875</v>
      </c>
      <c r="DI22" s="2"/>
      <c r="DJ22" s="2"/>
      <c r="DK22" s="2"/>
      <c r="DL22" s="2"/>
      <c r="DM22" s="2"/>
      <c r="DN22" s="2"/>
      <c r="DO22" s="2"/>
      <c r="DP22" s="2"/>
      <c r="DQ22" s="2"/>
      <c r="DR22" s="2"/>
      <c r="DS22" s="2"/>
      <c r="EC22" s="150" t="s">
        <v>726</v>
      </c>
      <c r="ED22" s="150" t="s">
        <v>982</v>
      </c>
      <c r="EE22" s="2">
        <v>250</v>
      </c>
      <c r="EF22" s="2">
        <v>2500</v>
      </c>
      <c r="EG22" s="2"/>
      <c r="EH22" s="2"/>
      <c r="EI22" s="2"/>
      <c r="EJ22" s="2"/>
      <c r="EK22" s="2"/>
      <c r="EL22" s="2"/>
      <c r="EM22" s="2"/>
      <c r="EN22" s="2"/>
      <c r="EO22" s="2"/>
      <c r="EP22" s="2"/>
      <c r="EQ22" s="2"/>
      <c r="EW22" s="151"/>
      <c r="EX22" s="151"/>
      <c r="EY22" s="2"/>
      <c r="EZ22" s="2"/>
      <c r="FA22" s="2"/>
      <c r="FB22" s="2"/>
      <c r="FC22" s="2"/>
      <c r="FD22" s="2"/>
      <c r="FE22" s="2"/>
      <c r="FF22" s="2"/>
      <c r="FG22" s="2"/>
      <c r="FH22" s="2"/>
      <c r="FI22" s="2"/>
      <c r="FJ22" s="2"/>
      <c r="FK22" s="2"/>
      <c r="FN22" s="159"/>
      <c r="FO22" s="151"/>
      <c r="FP22" s="2"/>
      <c r="FQ22" s="32"/>
      <c r="FR22" s="2"/>
      <c r="FS22" s="2"/>
      <c r="FT22" s="2"/>
      <c r="FU22" s="2"/>
      <c r="FV22" s="2"/>
      <c r="FW22" s="2"/>
      <c r="FX22" s="2"/>
      <c r="FY22" s="2"/>
      <c r="FZ22" s="2"/>
      <c r="GA22" s="2"/>
      <c r="GB22" s="2"/>
      <c r="GC22" s="2"/>
    </row>
    <row r="23" spans="2:185" x14ac:dyDescent="0.25">
      <c r="B23" s="149"/>
      <c r="C23" s="151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R23" s="181"/>
      <c r="S23" s="151"/>
      <c r="T23" s="2"/>
      <c r="U23" s="2" t="s">
        <v>828</v>
      </c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H23" s="159"/>
      <c r="AI23" s="151"/>
      <c r="AJ23" s="2" t="s">
        <v>45</v>
      </c>
      <c r="AK23" s="2"/>
      <c r="AL23" s="2" t="s">
        <v>127</v>
      </c>
      <c r="AM23" s="2" t="s">
        <v>1199</v>
      </c>
      <c r="AN23" s="2"/>
      <c r="AO23" s="2"/>
      <c r="AP23" s="2"/>
      <c r="AQ23" s="2"/>
      <c r="AR23" s="2"/>
      <c r="AS23" s="2"/>
      <c r="AT23" s="2"/>
      <c r="AU23" s="2"/>
      <c r="AV23" s="2"/>
      <c r="AW23" s="2"/>
      <c r="AY23" s="171"/>
      <c r="AZ23" s="151"/>
      <c r="BA23" s="2"/>
      <c r="BB23" s="2" t="s">
        <v>600</v>
      </c>
      <c r="BC23" s="2" t="s">
        <v>600</v>
      </c>
      <c r="BD23" s="2" t="s">
        <v>600</v>
      </c>
      <c r="BE23" s="2"/>
      <c r="BF23" s="2"/>
      <c r="BG23" s="2"/>
      <c r="BH23" s="2"/>
      <c r="BI23" s="2"/>
      <c r="BJ23" s="2"/>
      <c r="BK23" s="2"/>
      <c r="BL23" s="2"/>
      <c r="BM23" s="2"/>
      <c r="BO23" s="172" t="s">
        <v>954</v>
      </c>
      <c r="BP23" s="150"/>
      <c r="BQ23" s="2"/>
      <c r="BR23" s="2"/>
      <c r="BS23" s="2">
        <v>10000</v>
      </c>
      <c r="BT23" s="2">
        <v>10000</v>
      </c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H23" s="188"/>
      <c r="CI23" s="150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DE23" s="171"/>
      <c r="DF23" s="151"/>
      <c r="DG23" s="2" t="s">
        <v>642</v>
      </c>
      <c r="DH23" s="2" t="s">
        <v>642</v>
      </c>
      <c r="DI23" s="2"/>
      <c r="DJ23" s="2"/>
      <c r="DK23" s="2"/>
      <c r="DL23" s="2"/>
      <c r="DM23" s="2"/>
      <c r="DN23" s="2"/>
      <c r="DO23" s="2"/>
      <c r="DP23" s="2"/>
      <c r="DQ23" s="2"/>
      <c r="DR23" s="2"/>
      <c r="DS23" s="2"/>
      <c r="EC23" s="151"/>
      <c r="ED23" s="151"/>
      <c r="EE23" s="2" t="s">
        <v>727</v>
      </c>
      <c r="EF23" s="2" t="s">
        <v>727</v>
      </c>
      <c r="EG23" s="2"/>
      <c r="EH23" s="2"/>
      <c r="EI23" s="2"/>
      <c r="EJ23" s="2"/>
      <c r="EK23" s="2"/>
      <c r="EL23" s="2"/>
      <c r="EM23" s="2"/>
      <c r="EN23" s="2"/>
      <c r="EO23" s="2"/>
      <c r="EP23" s="2"/>
      <c r="EQ23" s="2"/>
      <c r="EW23" s="150"/>
      <c r="EX23" s="150"/>
      <c r="EY23" s="2"/>
      <c r="EZ23" s="2"/>
      <c r="FA23" s="2"/>
      <c r="FB23" s="2"/>
      <c r="FC23" s="2"/>
      <c r="FD23" s="2"/>
      <c r="FE23" s="2"/>
      <c r="FF23" s="2"/>
      <c r="FG23" s="2"/>
      <c r="FH23" s="2"/>
      <c r="FI23" s="2"/>
      <c r="FJ23" s="2"/>
      <c r="FK23" s="2"/>
      <c r="FN23" s="158"/>
      <c r="FO23" s="150"/>
      <c r="FP23" s="2"/>
      <c r="FQ23" s="32"/>
      <c r="FR23" s="2"/>
      <c r="FS23" s="2"/>
      <c r="FT23" s="2"/>
      <c r="FU23" s="2"/>
      <c r="FV23" s="2"/>
      <c r="FW23" s="2"/>
      <c r="FX23" s="2"/>
      <c r="FY23" s="2"/>
      <c r="FZ23" s="2"/>
      <c r="GA23" s="2"/>
      <c r="GB23" s="2"/>
      <c r="GC23" s="2"/>
    </row>
    <row r="24" spans="2:185" x14ac:dyDescent="0.25">
      <c r="B24" s="148"/>
      <c r="C24" s="150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R24" s="180" t="s">
        <v>438</v>
      </c>
      <c r="S24" s="150"/>
      <c r="T24" s="2">
        <v>250</v>
      </c>
      <c r="U24" s="2">
        <v>2500</v>
      </c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H24" s="158" t="s">
        <v>100</v>
      </c>
      <c r="AI24" s="150"/>
      <c r="AJ24" s="2">
        <v>250</v>
      </c>
      <c r="AK24" s="2"/>
      <c r="AL24" s="2">
        <v>2500</v>
      </c>
      <c r="AM24" s="2">
        <v>2500</v>
      </c>
      <c r="AN24" s="2"/>
      <c r="AO24" s="2"/>
      <c r="AP24" s="2"/>
      <c r="AQ24" s="2"/>
      <c r="AR24" s="2"/>
      <c r="AS24" s="2"/>
      <c r="AT24" s="2"/>
      <c r="AU24" s="2"/>
      <c r="AV24" s="2"/>
      <c r="AW24" s="2"/>
      <c r="AY24" s="170" t="s">
        <v>643</v>
      </c>
      <c r="AZ24" s="150" t="s">
        <v>644</v>
      </c>
      <c r="BA24" s="2">
        <v>250</v>
      </c>
      <c r="BB24" s="2">
        <v>3000</v>
      </c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O24" s="173"/>
      <c r="BP24" s="151"/>
      <c r="BQ24" s="2"/>
      <c r="BR24" s="2"/>
      <c r="BS24" s="2" t="s">
        <v>955</v>
      </c>
      <c r="BT24" s="2" t="s">
        <v>955</v>
      </c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H24" s="189"/>
      <c r="CI24" s="151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DE24" s="170" t="s">
        <v>649</v>
      </c>
      <c r="DF24" s="150" t="s">
        <v>651</v>
      </c>
      <c r="DG24" s="2">
        <v>250</v>
      </c>
      <c r="DH24" s="2">
        <v>1875</v>
      </c>
      <c r="DI24" s="2"/>
      <c r="DJ24" s="2"/>
      <c r="DK24" s="2"/>
      <c r="DL24" s="2"/>
      <c r="DM24" s="2"/>
      <c r="DN24" s="2"/>
      <c r="DO24" s="2"/>
      <c r="DP24" s="2"/>
      <c r="DQ24" s="2"/>
      <c r="DR24" s="2"/>
      <c r="DS24" s="2"/>
      <c r="EC24" s="150" t="s">
        <v>885</v>
      </c>
      <c r="ED24" s="150" t="s">
        <v>983</v>
      </c>
      <c r="EE24" s="2">
        <v>250</v>
      </c>
      <c r="EF24" s="2">
        <v>2500</v>
      </c>
      <c r="EG24" s="2"/>
      <c r="EH24" s="2"/>
      <c r="EI24" s="2"/>
      <c r="EJ24" s="2"/>
      <c r="EK24" s="2"/>
      <c r="EL24" s="2"/>
      <c r="EM24" s="2"/>
      <c r="EN24" s="2"/>
      <c r="EO24" s="2"/>
      <c r="EP24" s="2"/>
      <c r="EQ24" s="2"/>
      <c r="EW24" s="151"/>
      <c r="EX24" s="151"/>
      <c r="EY24" s="2"/>
      <c r="EZ24" s="2"/>
      <c r="FA24" s="2"/>
      <c r="FB24" s="2"/>
      <c r="FC24" s="2"/>
      <c r="FD24" s="2"/>
      <c r="FE24" s="2"/>
      <c r="FF24" s="2"/>
      <c r="FG24" s="2"/>
      <c r="FH24" s="2"/>
      <c r="FI24" s="2"/>
      <c r="FJ24" s="2"/>
      <c r="FK24" s="2"/>
      <c r="FN24" s="159"/>
      <c r="FO24" s="151"/>
      <c r="FP24" s="2"/>
      <c r="FQ24" s="32"/>
      <c r="FR24" s="2"/>
      <c r="FS24" s="2"/>
      <c r="FT24" s="2"/>
      <c r="FU24" s="2"/>
      <c r="FV24" s="2"/>
      <c r="FW24" s="2"/>
      <c r="FX24" s="2"/>
      <c r="FY24" s="2"/>
      <c r="FZ24" s="2"/>
      <c r="GA24" s="2"/>
      <c r="GB24" s="2"/>
      <c r="GC24" s="2"/>
    </row>
    <row r="25" spans="2:185" x14ac:dyDescent="0.25">
      <c r="B25" s="149"/>
      <c r="C25" s="151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R25" s="181"/>
      <c r="S25" s="151"/>
      <c r="T25" s="2" t="s">
        <v>1214</v>
      </c>
      <c r="U25" s="2" t="s">
        <v>1214</v>
      </c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H25" s="159"/>
      <c r="AI25" s="151"/>
      <c r="AJ25" s="2" t="s">
        <v>101</v>
      </c>
      <c r="AK25" s="2"/>
      <c r="AL25" s="2" t="s">
        <v>101</v>
      </c>
      <c r="AM25" s="2" t="s">
        <v>1212</v>
      </c>
      <c r="AN25" s="2"/>
      <c r="AO25" s="2"/>
      <c r="AP25" s="2"/>
      <c r="AQ25" s="2"/>
      <c r="AR25" s="2"/>
      <c r="AS25" s="2"/>
      <c r="AT25" s="2"/>
      <c r="AU25" s="2"/>
      <c r="AV25" s="2"/>
      <c r="AW25" s="2"/>
      <c r="AY25" s="171"/>
      <c r="AZ25" s="151"/>
      <c r="BA25" s="2" t="s">
        <v>645</v>
      </c>
      <c r="BB25" s="2" t="s">
        <v>645</v>
      </c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O25" s="172"/>
      <c r="BP25" s="150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H25" s="188"/>
      <c r="CI25" s="150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DE25" s="171"/>
      <c r="DF25" s="151"/>
      <c r="DG25" s="2" t="s">
        <v>650</v>
      </c>
      <c r="DH25" s="2" t="s">
        <v>650</v>
      </c>
      <c r="DI25" s="2"/>
      <c r="DJ25" s="2"/>
      <c r="DK25" s="2"/>
      <c r="DL25" s="2"/>
      <c r="DM25" s="2"/>
      <c r="DN25" s="2"/>
      <c r="DO25" s="2"/>
      <c r="DP25" s="2"/>
      <c r="DQ25" s="2"/>
      <c r="DR25" s="2"/>
      <c r="DS25" s="2"/>
      <c r="EC25" s="151"/>
      <c r="ED25" s="151"/>
      <c r="EE25" s="2" t="s">
        <v>886</v>
      </c>
      <c r="EF25" s="2" t="s">
        <v>886</v>
      </c>
      <c r="EG25" s="2"/>
      <c r="EH25" s="2"/>
      <c r="EI25" s="2"/>
      <c r="EJ25" s="2"/>
      <c r="EK25" s="2"/>
      <c r="EL25" s="2"/>
      <c r="EM25" s="2"/>
      <c r="EN25" s="2"/>
      <c r="EO25" s="2"/>
      <c r="EP25" s="2"/>
      <c r="EQ25" s="2"/>
      <c r="EW25" s="150"/>
      <c r="EX25" s="150"/>
      <c r="EY25" s="2"/>
      <c r="EZ25" s="2"/>
      <c r="FA25" s="2"/>
      <c r="FB25" s="2"/>
      <c r="FC25" s="2"/>
      <c r="FD25" s="2"/>
      <c r="FE25" s="2"/>
      <c r="FF25" s="2"/>
      <c r="FG25" s="2"/>
      <c r="FH25" s="2"/>
      <c r="FI25" s="2"/>
      <c r="FJ25" s="2"/>
      <c r="FK25" s="2"/>
      <c r="FN25" s="158"/>
      <c r="FO25" s="150"/>
      <c r="FP25" s="2"/>
      <c r="FQ25" s="32"/>
      <c r="FR25" s="2"/>
      <c r="FS25" s="2"/>
      <c r="FT25" s="2"/>
      <c r="FU25" s="2"/>
      <c r="FV25" s="2"/>
      <c r="FW25" s="2"/>
      <c r="FX25" s="2"/>
      <c r="FY25" s="2"/>
      <c r="FZ25" s="2"/>
      <c r="GA25" s="2"/>
      <c r="GB25" s="2"/>
      <c r="GC25" s="2"/>
    </row>
    <row r="26" spans="2:185" x14ac:dyDescent="0.25">
      <c r="B26" s="148"/>
      <c r="C26" s="150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R26" s="180" t="s">
        <v>1215</v>
      </c>
      <c r="S26" s="150"/>
      <c r="T26" s="2">
        <v>250</v>
      </c>
      <c r="U26" s="2">
        <v>2500</v>
      </c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H26" s="158" t="s">
        <v>102</v>
      </c>
      <c r="AI26" s="150"/>
      <c r="AJ26" s="2">
        <v>250</v>
      </c>
      <c r="AK26" s="2"/>
      <c r="AL26" s="2">
        <v>2500</v>
      </c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Y26" s="170" t="s">
        <v>646</v>
      </c>
      <c r="AZ26" s="150" t="s">
        <v>647</v>
      </c>
      <c r="BA26" s="2">
        <v>250</v>
      </c>
      <c r="BB26" s="2">
        <v>3000</v>
      </c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O26" s="173"/>
      <c r="BP26" s="151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H26" s="189"/>
      <c r="CI26" s="151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DE26" s="170" t="s">
        <v>715</v>
      </c>
      <c r="DF26" s="150" t="s">
        <v>988</v>
      </c>
      <c r="DG26" s="2" t="s">
        <v>717</v>
      </c>
      <c r="DH26" s="2">
        <v>1875</v>
      </c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  <c r="EC26" s="150"/>
      <c r="ED26" s="150"/>
      <c r="EE26" s="2"/>
      <c r="EF26" s="2"/>
      <c r="EG26" s="2"/>
      <c r="EH26" s="2"/>
      <c r="EI26" s="2"/>
      <c r="EJ26" s="2"/>
      <c r="EK26" s="2"/>
      <c r="EL26" s="2"/>
      <c r="EM26" s="2"/>
      <c r="EN26" s="2"/>
      <c r="EO26" s="2"/>
      <c r="EP26" s="2"/>
      <c r="EQ26" s="2"/>
      <c r="EW26" s="151"/>
      <c r="EX26" s="151"/>
      <c r="EY26" s="2"/>
      <c r="EZ26" s="2"/>
      <c r="FA26" s="2"/>
      <c r="FB26" s="2"/>
      <c r="FC26" s="2"/>
      <c r="FD26" s="2"/>
      <c r="FE26" s="2"/>
      <c r="FF26" s="2"/>
      <c r="FG26" s="2"/>
      <c r="FH26" s="2"/>
      <c r="FI26" s="2"/>
      <c r="FJ26" s="2"/>
      <c r="FK26" s="2"/>
      <c r="FN26" s="159"/>
      <c r="FO26" s="151"/>
      <c r="FP26" s="2"/>
      <c r="FQ26" s="32"/>
      <c r="FR26" s="2"/>
      <c r="FS26" s="2"/>
      <c r="FT26" s="2"/>
      <c r="FU26" s="2"/>
      <c r="FV26" s="2"/>
      <c r="FW26" s="2"/>
      <c r="FX26" s="2"/>
      <c r="FY26" s="2"/>
      <c r="FZ26" s="2"/>
      <c r="GA26" s="2"/>
      <c r="GB26" s="2"/>
      <c r="GC26" s="2"/>
    </row>
    <row r="27" spans="2:185" x14ac:dyDescent="0.25">
      <c r="B27" s="149"/>
      <c r="C27" s="151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R27" s="181"/>
      <c r="S27" s="151"/>
      <c r="T27" s="2" t="s">
        <v>1216</v>
      </c>
      <c r="U27" s="2" t="s">
        <v>1216</v>
      </c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H27" s="159"/>
      <c r="AI27" s="151"/>
      <c r="AJ27" s="2" t="s">
        <v>103</v>
      </c>
      <c r="AK27" s="2"/>
      <c r="AL27" s="2" t="s">
        <v>103</v>
      </c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Y27" s="171"/>
      <c r="AZ27" s="151"/>
      <c r="BA27" s="2" t="s">
        <v>648</v>
      </c>
      <c r="BB27" s="2" t="s">
        <v>648</v>
      </c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O27" s="172"/>
      <c r="BP27" s="150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H27" s="188"/>
      <c r="CI27" s="150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DE27" s="171"/>
      <c r="DF27" s="151"/>
      <c r="DG27" s="2" t="s">
        <v>716</v>
      </c>
      <c r="DH27" s="2" t="s">
        <v>716</v>
      </c>
      <c r="DI27" s="2"/>
      <c r="DJ27" s="2"/>
      <c r="DK27" s="2"/>
      <c r="DL27" s="2"/>
      <c r="DM27" s="2"/>
      <c r="DN27" s="2"/>
      <c r="DO27" s="2"/>
      <c r="DP27" s="2"/>
      <c r="DQ27" s="2"/>
      <c r="DR27" s="2"/>
      <c r="DS27" s="2"/>
      <c r="EC27" s="151"/>
      <c r="ED27" s="151"/>
      <c r="EE27" s="2"/>
      <c r="EF27" s="2"/>
      <c r="EG27" s="2"/>
      <c r="EH27" s="2"/>
      <c r="EI27" s="2"/>
      <c r="EJ27" s="2"/>
      <c r="EK27" s="2"/>
      <c r="EL27" s="2"/>
      <c r="EM27" s="2"/>
      <c r="EN27" s="2"/>
      <c r="EO27" s="2"/>
      <c r="EP27" s="2"/>
      <c r="EQ27" s="2"/>
      <c r="EW27" s="150"/>
      <c r="EX27" s="150"/>
      <c r="EY27" s="2"/>
      <c r="EZ27" s="2"/>
      <c r="FA27" s="2"/>
      <c r="FB27" s="2"/>
      <c r="FC27" s="2"/>
      <c r="FD27" s="2"/>
      <c r="FE27" s="2"/>
      <c r="FF27" s="2"/>
      <c r="FG27" s="2"/>
      <c r="FH27" s="2"/>
      <c r="FI27" s="2"/>
      <c r="FJ27" s="2"/>
      <c r="FK27" s="2"/>
      <c r="FN27" s="158"/>
      <c r="FO27" s="150"/>
      <c r="FP27" s="2"/>
      <c r="FQ27" s="32"/>
      <c r="FR27" s="2"/>
      <c r="FS27" s="2"/>
      <c r="FT27" s="2"/>
      <c r="FU27" s="2"/>
      <c r="FV27" s="2"/>
      <c r="FW27" s="2"/>
      <c r="FX27" s="2"/>
      <c r="FY27" s="2"/>
      <c r="FZ27" s="2"/>
      <c r="GA27" s="2"/>
      <c r="GB27" s="2"/>
      <c r="GC27" s="2"/>
    </row>
    <row r="28" spans="2:185" x14ac:dyDescent="0.25">
      <c r="B28" s="148"/>
      <c r="C28" s="150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R28" s="180"/>
      <c r="S28" s="150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H28" s="158" t="s">
        <v>110</v>
      </c>
      <c r="AI28" s="150" t="s">
        <v>990</v>
      </c>
      <c r="AJ28" s="2">
        <v>250</v>
      </c>
      <c r="AK28" s="2"/>
      <c r="AL28" s="2">
        <v>1250</v>
      </c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Y28" s="170" t="s">
        <v>640</v>
      </c>
      <c r="AZ28" s="150" t="s">
        <v>986</v>
      </c>
      <c r="BA28" s="2">
        <v>250</v>
      </c>
      <c r="BB28" s="2" t="s">
        <v>869</v>
      </c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O28" s="173"/>
      <c r="BP28" s="151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H28" s="189"/>
      <c r="CI28" s="151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DE28" s="170" t="s">
        <v>872</v>
      </c>
      <c r="DF28" s="168" t="s">
        <v>873</v>
      </c>
      <c r="DG28" s="32">
        <v>250</v>
      </c>
      <c r="DH28" s="2">
        <v>1875</v>
      </c>
      <c r="DI28" s="2"/>
      <c r="DJ28" s="2"/>
      <c r="DK28" s="2"/>
      <c r="DL28" s="2"/>
      <c r="DM28" s="2"/>
      <c r="DN28" s="2"/>
      <c r="DO28" s="2"/>
      <c r="DP28" s="2"/>
      <c r="DQ28" s="2"/>
      <c r="DR28" s="2"/>
      <c r="DS28" s="2"/>
      <c r="EC28" s="150"/>
      <c r="ED28" s="150"/>
      <c r="EE28" s="2"/>
      <c r="EF28" s="2"/>
      <c r="EG28" s="2"/>
      <c r="EH28" s="2"/>
      <c r="EI28" s="2"/>
      <c r="EJ28" s="2"/>
      <c r="EK28" s="2"/>
      <c r="EL28" s="2"/>
      <c r="EM28" s="2"/>
      <c r="EN28" s="2"/>
      <c r="EO28" s="2"/>
      <c r="EP28" s="2"/>
      <c r="EQ28" s="2"/>
      <c r="EW28" s="151"/>
      <c r="EX28" s="151"/>
      <c r="EY28" s="2"/>
      <c r="EZ28" s="2"/>
      <c r="FA28" s="2"/>
      <c r="FB28" s="2"/>
      <c r="FC28" s="2"/>
      <c r="FD28" s="2"/>
      <c r="FE28" s="2"/>
      <c r="FF28" s="2"/>
      <c r="FG28" s="2"/>
      <c r="FH28" s="2"/>
      <c r="FI28" s="2"/>
      <c r="FJ28" s="2"/>
      <c r="FK28" s="2"/>
      <c r="FN28" s="159"/>
      <c r="FO28" s="151"/>
      <c r="FP28" s="2"/>
      <c r="FQ28" s="32"/>
      <c r="FR28" s="2"/>
      <c r="FS28" s="2"/>
      <c r="FT28" s="2"/>
      <c r="FU28" s="2"/>
      <c r="FV28" s="2"/>
      <c r="FW28" s="2"/>
      <c r="FX28" s="2"/>
      <c r="FY28" s="2"/>
      <c r="FZ28" s="2"/>
      <c r="GA28" s="2"/>
      <c r="GB28" s="2"/>
      <c r="GC28" s="2"/>
    </row>
    <row r="29" spans="2:185" x14ac:dyDescent="0.25">
      <c r="B29" s="149"/>
      <c r="C29" s="151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R29" s="181"/>
      <c r="S29" s="151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H29" s="159"/>
      <c r="AI29" s="151"/>
      <c r="AJ29" s="2" t="s">
        <v>111</v>
      </c>
      <c r="AK29" s="2"/>
      <c r="AL29" s="2" t="s">
        <v>111</v>
      </c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Y29" s="171"/>
      <c r="AZ29" s="151"/>
      <c r="BA29" s="2" t="s">
        <v>653</v>
      </c>
      <c r="BB29" s="2" t="s">
        <v>870</v>
      </c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O29" s="172"/>
      <c r="BP29" s="150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DE29" s="171"/>
      <c r="DF29" s="169"/>
      <c r="DG29" s="32" t="s">
        <v>874</v>
      </c>
      <c r="DH29" s="32" t="s">
        <v>874</v>
      </c>
      <c r="DI29" s="2"/>
      <c r="DJ29" s="2"/>
      <c r="DK29" s="2"/>
      <c r="DL29" s="2"/>
      <c r="DM29" s="2"/>
      <c r="DN29" s="2"/>
      <c r="DO29" s="2"/>
      <c r="DP29" s="2"/>
      <c r="DQ29" s="2"/>
      <c r="DR29" s="2"/>
      <c r="DS29" s="2"/>
      <c r="EC29" s="151"/>
      <c r="ED29" s="151"/>
      <c r="EE29" s="2"/>
      <c r="EF29" s="2"/>
      <c r="EG29" s="2"/>
      <c r="EH29" s="2"/>
      <c r="EI29" s="2"/>
      <c r="EJ29" s="2"/>
      <c r="EK29" s="2"/>
      <c r="EL29" s="2"/>
      <c r="EM29" s="2"/>
      <c r="EN29" s="2"/>
      <c r="EO29" s="2"/>
      <c r="EP29" s="2"/>
      <c r="EQ29" s="2"/>
      <c r="EW29" s="150"/>
      <c r="EX29" s="150"/>
      <c r="EY29" s="2"/>
      <c r="EZ29" s="2"/>
      <c r="FA29" s="2"/>
      <c r="FB29" s="2"/>
      <c r="FC29" s="2"/>
      <c r="FD29" s="2"/>
      <c r="FE29" s="2"/>
      <c r="FF29" s="2"/>
      <c r="FG29" s="2"/>
      <c r="FH29" s="2"/>
      <c r="FI29" s="2"/>
      <c r="FJ29" s="2"/>
      <c r="FK29" s="2"/>
      <c r="FN29" s="158"/>
      <c r="FO29" s="150"/>
      <c r="FP29" s="2"/>
      <c r="FQ29" s="32"/>
      <c r="FR29" s="2"/>
      <c r="FS29" s="2"/>
      <c r="FT29" s="2"/>
      <c r="FU29" s="2"/>
      <c r="FV29" s="2"/>
      <c r="FW29" s="2"/>
      <c r="FX29" s="2"/>
      <c r="FY29" s="2"/>
      <c r="FZ29" s="2"/>
      <c r="GA29" s="2"/>
      <c r="GB29" s="2"/>
      <c r="GC29" s="2"/>
    </row>
    <row r="30" spans="2:185" x14ac:dyDescent="0.25">
      <c r="B30" s="148"/>
      <c r="C30" s="150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R30" s="180"/>
      <c r="S30" s="150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H30" s="158" t="s">
        <v>142</v>
      </c>
      <c r="AI30" s="150" t="s">
        <v>991</v>
      </c>
      <c r="AJ30" s="2">
        <v>250</v>
      </c>
      <c r="AK30" s="2">
        <v>1500</v>
      </c>
      <c r="AL30" s="2">
        <v>2500</v>
      </c>
      <c r="AM30" s="2">
        <v>2500</v>
      </c>
      <c r="AN30" s="2"/>
      <c r="AO30" s="2"/>
      <c r="AP30" s="2"/>
      <c r="AQ30" s="2"/>
      <c r="AR30" s="2"/>
      <c r="AS30" s="2"/>
      <c r="AT30" s="2"/>
      <c r="AU30" s="2"/>
      <c r="AV30" s="2"/>
      <c r="AW30" s="2"/>
      <c r="AY30" s="170" t="s">
        <v>728</v>
      </c>
      <c r="AZ30" s="150" t="s">
        <v>987</v>
      </c>
      <c r="BA30" s="2">
        <v>250</v>
      </c>
      <c r="BB30" s="2">
        <v>3000</v>
      </c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O30" s="173"/>
      <c r="BP30" s="151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DE30" s="170" t="s">
        <v>875</v>
      </c>
      <c r="DF30" s="150" t="s">
        <v>882</v>
      </c>
      <c r="DG30" s="2">
        <v>250</v>
      </c>
      <c r="DH30" s="2">
        <v>1875</v>
      </c>
      <c r="DI30" s="2"/>
      <c r="DJ30" s="2"/>
      <c r="DK30" s="2"/>
      <c r="DL30" s="2"/>
      <c r="DM30" s="2"/>
      <c r="DN30" s="2"/>
      <c r="DO30" s="2"/>
      <c r="DP30" s="2"/>
      <c r="DQ30" s="2"/>
      <c r="DR30" s="2"/>
      <c r="DS30" s="2"/>
      <c r="EC30" s="150"/>
      <c r="ED30" s="150"/>
      <c r="EE30" s="2"/>
      <c r="EF30" s="2"/>
      <c r="EG30" s="2"/>
      <c r="EH30" s="2"/>
      <c r="EI30" s="2"/>
      <c r="EJ30" s="2"/>
      <c r="EK30" s="2"/>
      <c r="EL30" s="2"/>
      <c r="EM30" s="2"/>
      <c r="EN30" s="2"/>
      <c r="EO30" s="2"/>
      <c r="EP30" s="2"/>
      <c r="EQ30" s="2"/>
      <c r="EW30" s="151"/>
      <c r="EX30" s="151"/>
      <c r="EY30" s="2"/>
      <c r="EZ30" s="2"/>
      <c r="FA30" s="2"/>
      <c r="FB30" s="2"/>
      <c r="FC30" s="2"/>
      <c r="FD30" s="2"/>
      <c r="FE30" s="2"/>
      <c r="FF30" s="2"/>
      <c r="FG30" s="2"/>
      <c r="FH30" s="2"/>
      <c r="FI30" s="2"/>
      <c r="FJ30" s="2"/>
      <c r="FK30" s="2"/>
      <c r="FN30" s="159"/>
      <c r="FO30" s="151"/>
      <c r="FP30" s="2"/>
      <c r="FQ30" s="32"/>
      <c r="FR30" s="2"/>
      <c r="FS30" s="2"/>
      <c r="FT30" s="2"/>
      <c r="FU30" s="2"/>
      <c r="FV30" s="2"/>
      <c r="FW30" s="2"/>
      <c r="FX30" s="2"/>
      <c r="FY30" s="2"/>
      <c r="FZ30" s="2"/>
      <c r="GA30" s="2"/>
      <c r="GB30" s="2"/>
      <c r="GC30" s="2"/>
    </row>
    <row r="31" spans="2:185" x14ac:dyDescent="0.25">
      <c r="B31" s="149"/>
      <c r="C31" s="151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R31" s="181"/>
      <c r="S31" s="151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H31" s="159"/>
      <c r="AI31" s="151"/>
      <c r="AJ31" s="2" t="s">
        <v>124</v>
      </c>
      <c r="AK31" s="2" t="s">
        <v>143</v>
      </c>
      <c r="AL31" s="2" t="s">
        <v>124</v>
      </c>
      <c r="AM31" s="2" t="s">
        <v>1206</v>
      </c>
      <c r="AN31" s="2"/>
      <c r="AO31" s="2"/>
      <c r="AP31" s="2"/>
      <c r="AQ31" s="2"/>
      <c r="AR31" s="2"/>
      <c r="AS31" s="2"/>
      <c r="AT31" s="2"/>
      <c r="AU31" s="2"/>
      <c r="AV31" s="2"/>
      <c r="AW31" s="2"/>
      <c r="AY31" s="171"/>
      <c r="AZ31" s="151"/>
      <c r="BA31" s="2" t="s">
        <v>729</v>
      </c>
      <c r="BB31" s="2" t="s">
        <v>729</v>
      </c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O31" s="172"/>
      <c r="BP31" s="150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DE31" s="171"/>
      <c r="DF31" s="151"/>
      <c r="DG31" s="2" t="s">
        <v>876</v>
      </c>
      <c r="DH31" s="2" t="s">
        <v>876</v>
      </c>
      <c r="DI31" s="2"/>
      <c r="DJ31" s="2"/>
      <c r="DK31" s="2"/>
      <c r="DL31" s="2"/>
      <c r="DM31" s="2"/>
      <c r="DN31" s="2"/>
      <c r="DO31" s="2"/>
      <c r="DP31" s="2"/>
      <c r="DQ31" s="2"/>
      <c r="DR31" s="2"/>
      <c r="DS31" s="2"/>
      <c r="EC31" s="151"/>
      <c r="ED31" s="151"/>
      <c r="EE31" s="2"/>
      <c r="EF31" s="2"/>
      <c r="EG31" s="2"/>
      <c r="EH31" s="2"/>
      <c r="EI31" s="2"/>
      <c r="EJ31" s="2"/>
      <c r="EK31" s="2"/>
      <c r="EL31" s="2"/>
      <c r="EM31" s="2"/>
      <c r="EN31" s="2"/>
      <c r="EO31" s="2"/>
      <c r="EP31" s="2"/>
      <c r="EQ31" s="2"/>
      <c r="EW31" s="150"/>
      <c r="EX31" s="150"/>
      <c r="EY31" s="2"/>
      <c r="EZ31" s="2"/>
      <c r="FA31" s="2"/>
      <c r="FB31" s="2"/>
      <c r="FC31" s="2"/>
      <c r="FD31" s="2"/>
      <c r="FE31" s="2"/>
      <c r="FF31" s="2"/>
      <c r="FG31" s="2"/>
      <c r="FH31" s="2"/>
      <c r="FI31" s="2"/>
      <c r="FJ31" s="2"/>
      <c r="FK31" s="2"/>
      <c r="FN31" s="158"/>
      <c r="FO31" s="150"/>
      <c r="FP31" s="2"/>
      <c r="FQ31" s="32"/>
      <c r="FR31" s="2"/>
      <c r="FS31" s="2"/>
      <c r="FT31" s="2"/>
      <c r="FU31" s="2"/>
      <c r="FV31" s="2"/>
      <c r="FW31" s="2"/>
      <c r="FX31" s="2"/>
      <c r="FY31" s="2"/>
      <c r="FZ31" s="2"/>
      <c r="GA31" s="2"/>
      <c r="GB31" s="2"/>
      <c r="GC31" s="2"/>
    </row>
    <row r="32" spans="2:185" x14ac:dyDescent="0.25">
      <c r="B32" s="148"/>
      <c r="C32" s="150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R32" s="180"/>
      <c r="S32" s="150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H32" s="158" t="s">
        <v>443</v>
      </c>
      <c r="AI32" s="150"/>
      <c r="AJ32" s="2">
        <v>250</v>
      </c>
      <c r="AK32" s="2"/>
      <c r="AL32" s="2">
        <v>2500</v>
      </c>
      <c r="AM32" s="2">
        <v>2500</v>
      </c>
      <c r="AN32" s="2"/>
      <c r="AO32" s="2"/>
      <c r="AP32" s="2"/>
      <c r="AQ32" s="2"/>
      <c r="AR32" s="2"/>
      <c r="AS32" s="2"/>
      <c r="AT32" s="2"/>
      <c r="AU32" s="2"/>
      <c r="AV32" s="2"/>
      <c r="AW32" s="2"/>
      <c r="AY32" s="170" t="s">
        <v>864</v>
      </c>
      <c r="AZ32" s="150" t="s">
        <v>865</v>
      </c>
      <c r="BA32" s="2">
        <v>250</v>
      </c>
      <c r="BB32" s="2">
        <v>3000</v>
      </c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O32" s="173"/>
      <c r="BP32" s="151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DE32" s="170" t="s">
        <v>877</v>
      </c>
      <c r="DF32" s="150" t="s">
        <v>883</v>
      </c>
      <c r="DG32" s="2">
        <v>250</v>
      </c>
      <c r="DH32" s="2">
        <v>2500</v>
      </c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  <c r="EC32" s="150"/>
      <c r="ED32" s="150"/>
      <c r="EE32" s="2"/>
      <c r="EF32" s="2"/>
      <c r="EG32" s="2"/>
      <c r="EH32" s="2"/>
      <c r="EI32" s="2"/>
      <c r="EJ32" s="2"/>
      <c r="EK32" s="2"/>
      <c r="EL32" s="2"/>
      <c r="EM32" s="2"/>
      <c r="EN32" s="2"/>
      <c r="EO32" s="2"/>
      <c r="EP32" s="2"/>
      <c r="EQ32" s="2"/>
      <c r="EW32" s="151"/>
      <c r="EX32" s="151"/>
      <c r="EY32" s="2"/>
      <c r="EZ32" s="2"/>
      <c r="FA32" s="2"/>
      <c r="FB32" s="2"/>
      <c r="FC32" s="2"/>
      <c r="FD32" s="2"/>
      <c r="FE32" s="2"/>
      <c r="FF32" s="2"/>
      <c r="FG32" s="2"/>
      <c r="FH32" s="2"/>
      <c r="FI32" s="2"/>
      <c r="FJ32" s="2"/>
      <c r="FK32" s="2"/>
      <c r="FN32" s="159"/>
      <c r="FO32" s="151"/>
      <c r="FP32" s="2"/>
      <c r="FQ32" s="32"/>
      <c r="FR32" s="2"/>
      <c r="FS32" s="2"/>
      <c r="FT32" s="2"/>
      <c r="FU32" s="2"/>
      <c r="FV32" s="2"/>
      <c r="FW32" s="2"/>
      <c r="FX32" s="2"/>
      <c r="FY32" s="2"/>
      <c r="FZ32" s="2"/>
      <c r="GA32" s="2"/>
      <c r="GB32" s="2"/>
      <c r="GC32" s="2"/>
    </row>
    <row r="33" spans="2:185" x14ac:dyDescent="0.25">
      <c r="B33" s="149"/>
      <c r="C33" s="151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R33" s="181"/>
      <c r="S33" s="151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H33" s="159"/>
      <c r="AI33" s="151"/>
      <c r="AJ33" s="2" t="s">
        <v>128</v>
      </c>
      <c r="AK33" s="2"/>
      <c r="AL33" s="2" t="s">
        <v>128</v>
      </c>
      <c r="AM33" s="2" t="s">
        <v>1197</v>
      </c>
      <c r="AN33" s="2"/>
      <c r="AO33" s="2"/>
      <c r="AP33" s="2"/>
      <c r="AQ33" s="2"/>
      <c r="AR33" s="2"/>
      <c r="AS33" s="2"/>
      <c r="AT33" s="2"/>
      <c r="AU33" s="2"/>
      <c r="AV33" s="2"/>
      <c r="AW33" s="2"/>
      <c r="AY33" s="171"/>
      <c r="AZ33" s="151"/>
      <c r="BA33" s="2" t="s">
        <v>866</v>
      </c>
      <c r="BB33" s="2" t="s">
        <v>866</v>
      </c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O33" s="172"/>
      <c r="BP33" s="150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DE33" s="171"/>
      <c r="DF33" s="151"/>
      <c r="DG33" s="2" t="s">
        <v>878</v>
      </c>
      <c r="DH33" s="2" t="s">
        <v>878</v>
      </c>
      <c r="DI33" s="2"/>
      <c r="DJ33" s="2"/>
      <c r="DK33" s="2"/>
      <c r="DL33" s="2"/>
      <c r="DM33" s="2"/>
      <c r="DN33" s="2"/>
      <c r="DO33" s="2"/>
      <c r="DP33" s="2"/>
      <c r="DQ33" s="2"/>
      <c r="DR33" s="2"/>
      <c r="DS33" s="2"/>
      <c r="EC33" s="151"/>
      <c r="ED33" s="151"/>
      <c r="EE33" s="2"/>
      <c r="EF33" s="2"/>
      <c r="EG33" s="2"/>
      <c r="EH33" s="2"/>
      <c r="EI33" s="2"/>
      <c r="EJ33" s="2"/>
      <c r="EK33" s="2"/>
      <c r="EL33" s="2"/>
      <c r="EM33" s="2"/>
      <c r="EN33" s="2"/>
      <c r="EO33" s="2"/>
      <c r="EP33" s="2"/>
      <c r="EQ33" s="2"/>
      <c r="FN33" s="158"/>
      <c r="FO33" s="150"/>
      <c r="FP33" s="2"/>
      <c r="FQ33" s="32"/>
      <c r="FR33" s="2"/>
      <c r="FS33" s="2"/>
      <c r="FT33" s="2"/>
      <c r="FU33" s="2"/>
      <c r="FV33" s="2"/>
      <c r="FW33" s="2"/>
      <c r="FX33" s="2"/>
      <c r="FY33" s="2"/>
      <c r="FZ33" s="2"/>
      <c r="GA33" s="2"/>
      <c r="GB33" s="2"/>
      <c r="GC33" s="2"/>
    </row>
    <row r="34" spans="2:185" x14ac:dyDescent="0.25">
      <c r="B34" s="148"/>
      <c r="C34" s="150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R34" s="180"/>
      <c r="S34" s="150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H34" s="158" t="s">
        <v>130</v>
      </c>
      <c r="AI34" s="150" t="s">
        <v>992</v>
      </c>
      <c r="AJ34" s="2">
        <v>250</v>
      </c>
      <c r="AK34" s="2"/>
      <c r="AL34" s="2">
        <v>2500</v>
      </c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Y34" s="170" t="s">
        <v>155</v>
      </c>
      <c r="AZ34" s="150" t="s">
        <v>867</v>
      </c>
      <c r="BA34" s="2">
        <v>250</v>
      </c>
      <c r="BB34" s="2">
        <v>3000</v>
      </c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O34" s="173"/>
      <c r="BP34" s="151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DE34" s="170" t="s">
        <v>879</v>
      </c>
      <c r="DF34" s="150" t="s">
        <v>881</v>
      </c>
      <c r="DG34" s="2">
        <v>250</v>
      </c>
      <c r="DH34" s="2">
        <v>2500</v>
      </c>
      <c r="DI34" s="2"/>
      <c r="DJ34" s="2"/>
      <c r="DK34" s="2"/>
      <c r="DL34" s="2"/>
      <c r="DM34" s="2"/>
      <c r="DN34" s="2"/>
      <c r="DO34" s="2"/>
      <c r="DP34" s="2"/>
      <c r="DQ34" s="2"/>
      <c r="DR34" s="2"/>
      <c r="DS34" s="2"/>
      <c r="FN34" s="159"/>
      <c r="FO34" s="151"/>
      <c r="FP34" s="2"/>
      <c r="FQ34" s="32"/>
      <c r="FR34" s="2"/>
      <c r="FS34" s="2"/>
      <c r="FT34" s="2"/>
      <c r="FU34" s="2"/>
      <c r="FV34" s="2"/>
      <c r="FW34" s="2"/>
      <c r="FX34" s="2"/>
      <c r="FY34" s="2"/>
      <c r="FZ34" s="2"/>
      <c r="GA34" s="2"/>
      <c r="GB34" s="2"/>
      <c r="GC34" s="2"/>
    </row>
    <row r="35" spans="2:185" x14ac:dyDescent="0.25">
      <c r="B35" s="149"/>
      <c r="C35" s="151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R35" s="181"/>
      <c r="S35" s="151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H35" s="159"/>
      <c r="AI35" s="151"/>
      <c r="AJ35" s="2" t="s">
        <v>131</v>
      </c>
      <c r="AK35" s="2"/>
      <c r="AL35" s="2" t="s">
        <v>131</v>
      </c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Y35" s="171"/>
      <c r="AZ35" s="151"/>
      <c r="BA35" s="2" t="s">
        <v>1249</v>
      </c>
      <c r="BB35" s="2" t="s">
        <v>868</v>
      </c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O35" s="172"/>
      <c r="BP35" s="150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DE35" s="171"/>
      <c r="DF35" s="151"/>
      <c r="DG35" s="2" t="s">
        <v>880</v>
      </c>
      <c r="DH35" s="2" t="s">
        <v>880</v>
      </c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</row>
    <row r="36" spans="2:185" x14ac:dyDescent="0.25">
      <c r="B36" s="148"/>
      <c r="C36" s="150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R36" s="180"/>
      <c r="S36" s="150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H36" s="158" t="s">
        <v>141</v>
      </c>
      <c r="AI36" s="150" t="s">
        <v>993</v>
      </c>
      <c r="AJ36" s="2">
        <v>250</v>
      </c>
      <c r="AK36" s="2"/>
      <c r="AL36" s="2">
        <v>2500</v>
      </c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Y36" s="170"/>
      <c r="AZ36" s="150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O36" s="173"/>
      <c r="BP36" s="151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DE36" s="170"/>
      <c r="DF36" s="150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</row>
    <row r="37" spans="2:185" x14ac:dyDescent="0.25">
      <c r="B37" s="149"/>
      <c r="C37" s="151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R37" s="181"/>
      <c r="S37" s="151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H37" s="159"/>
      <c r="AI37" s="151"/>
      <c r="AJ37" s="2" t="s">
        <v>132</v>
      </c>
      <c r="AK37" s="2"/>
      <c r="AL37" s="2" t="s">
        <v>132</v>
      </c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Y37" s="171"/>
      <c r="AZ37" s="151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O37" s="172"/>
      <c r="BP37" s="150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DE37" s="171"/>
      <c r="DF37" s="151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</row>
    <row r="38" spans="2:185" x14ac:dyDescent="0.25">
      <c r="B38" s="148"/>
      <c r="C38" s="150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R38" s="180"/>
      <c r="S38" s="150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H38" s="158" t="s">
        <v>133</v>
      </c>
      <c r="AI38" s="150" t="s">
        <v>994</v>
      </c>
      <c r="AJ38" s="2">
        <v>250</v>
      </c>
      <c r="AK38" s="2"/>
      <c r="AL38" s="2">
        <v>2500</v>
      </c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Y38" s="170"/>
      <c r="AZ38" s="150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O38" s="173"/>
      <c r="BP38" s="151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DE38" s="170"/>
      <c r="DF38" s="150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</row>
    <row r="39" spans="2:185" x14ac:dyDescent="0.25">
      <c r="B39" s="149"/>
      <c r="C39" s="151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R39" s="181"/>
      <c r="S39" s="151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H39" s="159"/>
      <c r="AI39" s="151"/>
      <c r="AJ39" s="2" t="s">
        <v>134</v>
      </c>
      <c r="AK39" s="2"/>
      <c r="AL39" s="2" t="s">
        <v>134</v>
      </c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Y39" s="171"/>
      <c r="AZ39" s="151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O39" s="172"/>
      <c r="BP39" s="150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DE39" s="171"/>
      <c r="DF39" s="151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</row>
    <row r="40" spans="2:185" x14ac:dyDescent="0.25">
      <c r="B40" s="148"/>
      <c r="C40" s="150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R40" s="180"/>
      <c r="S40" s="150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H40" s="158" t="s">
        <v>135</v>
      </c>
      <c r="AI40" s="150" t="s">
        <v>995</v>
      </c>
      <c r="AJ40" s="2">
        <v>250</v>
      </c>
      <c r="AK40" s="2"/>
      <c r="AL40" s="2">
        <v>2500</v>
      </c>
      <c r="AM40" s="2">
        <v>2500</v>
      </c>
      <c r="AN40" s="2"/>
      <c r="AO40" s="2"/>
      <c r="AP40" s="2"/>
      <c r="AQ40" s="2"/>
      <c r="AR40" s="2"/>
      <c r="AS40" s="2"/>
      <c r="AT40" s="2"/>
      <c r="AU40" s="2"/>
      <c r="AV40" s="2"/>
      <c r="AW40" s="2"/>
      <c r="AY40" s="170"/>
      <c r="AZ40" s="150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O40" s="173"/>
      <c r="BP40" s="151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DE40" s="170"/>
      <c r="DF40" s="150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</row>
    <row r="41" spans="2:185" x14ac:dyDescent="0.25">
      <c r="B41" s="149"/>
      <c r="C41" s="151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R41" s="181"/>
      <c r="S41" s="151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H41" s="159"/>
      <c r="AI41" s="151"/>
      <c r="AJ41" s="2" t="s">
        <v>136</v>
      </c>
      <c r="AK41" s="2"/>
      <c r="AL41" s="2" t="s">
        <v>136</v>
      </c>
      <c r="AM41" s="2" t="s">
        <v>1198</v>
      </c>
      <c r="AN41" s="2"/>
      <c r="AO41" s="2"/>
      <c r="AP41" s="2"/>
      <c r="AQ41" s="2"/>
      <c r="AR41" s="2"/>
      <c r="AS41" s="2"/>
      <c r="AT41" s="2"/>
      <c r="AU41" s="2"/>
      <c r="AV41" s="2"/>
      <c r="AW41" s="2"/>
      <c r="AY41" s="171"/>
      <c r="AZ41" s="151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O41" s="172"/>
      <c r="BP41" s="150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DE41" s="171"/>
      <c r="DF41" s="151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</row>
    <row r="42" spans="2:185" x14ac:dyDescent="0.25">
      <c r="B42" s="148"/>
      <c r="C42" s="150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R42" s="180"/>
      <c r="S42" s="150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H42" s="158" t="s">
        <v>252</v>
      </c>
      <c r="AI42" s="150" t="s">
        <v>996</v>
      </c>
      <c r="AJ42" s="2">
        <v>250</v>
      </c>
      <c r="AK42" s="2"/>
      <c r="AL42" s="2">
        <v>2500</v>
      </c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Y42" s="170"/>
      <c r="AZ42" s="150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O42" s="173"/>
      <c r="BP42" s="151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DE42" s="170"/>
      <c r="DF42" s="150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</row>
    <row r="43" spans="2:185" x14ac:dyDescent="0.25">
      <c r="B43" s="149"/>
      <c r="C43" s="151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R43" s="181"/>
      <c r="S43" s="151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H43" s="159"/>
      <c r="AI43" s="151"/>
      <c r="AJ43" s="2" t="s">
        <v>253</v>
      </c>
      <c r="AK43" s="2"/>
      <c r="AL43" s="2" t="s">
        <v>253</v>
      </c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Y43" s="171"/>
      <c r="AZ43" s="151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O43" s="172"/>
      <c r="BP43" s="150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DE43" s="171"/>
      <c r="DF43" s="151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</row>
    <row r="44" spans="2:185" x14ac:dyDescent="0.25">
      <c r="B44" s="148"/>
      <c r="C44" s="150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R44" s="180"/>
      <c r="S44" s="150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H44" s="158" t="s">
        <v>254</v>
      </c>
      <c r="AI44" s="150" t="s">
        <v>255</v>
      </c>
      <c r="AJ44" s="2">
        <v>250</v>
      </c>
      <c r="AK44" s="2"/>
      <c r="AL44" s="2">
        <v>2500</v>
      </c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Y44" s="170"/>
      <c r="AZ44" s="150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O44" s="173"/>
      <c r="BP44" s="151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DE44" s="170"/>
      <c r="DF44" s="150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</row>
    <row r="45" spans="2:185" x14ac:dyDescent="0.25">
      <c r="B45" s="149"/>
      <c r="C45" s="151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R45" s="181"/>
      <c r="S45" s="151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H45" s="159"/>
      <c r="AI45" s="151"/>
      <c r="AJ45" s="2" t="s">
        <v>256</v>
      </c>
      <c r="AK45" s="2"/>
      <c r="AL45" s="2" t="s">
        <v>256</v>
      </c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Y45" s="171"/>
      <c r="AZ45" s="151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DE45" s="171"/>
      <c r="DF45" s="151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</row>
    <row r="46" spans="2:185" x14ac:dyDescent="0.25">
      <c r="AH46" s="158" t="s">
        <v>471</v>
      </c>
      <c r="AI46" s="150" t="s">
        <v>472</v>
      </c>
      <c r="AJ46" s="2">
        <v>250</v>
      </c>
      <c r="AK46" s="2"/>
      <c r="AL46" s="2">
        <v>2500</v>
      </c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</row>
    <row r="47" spans="2:185" x14ac:dyDescent="0.25">
      <c r="AH47" s="159"/>
      <c r="AI47" s="151"/>
      <c r="AJ47" s="2" t="s">
        <v>473</v>
      </c>
      <c r="AK47" s="2"/>
      <c r="AL47" s="2" t="s">
        <v>473</v>
      </c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</row>
    <row r="48" spans="2:185" x14ac:dyDescent="0.25">
      <c r="AH48" s="158" t="s">
        <v>607</v>
      </c>
      <c r="AI48" s="150" t="s">
        <v>609</v>
      </c>
      <c r="AJ48" s="2">
        <v>250</v>
      </c>
      <c r="AK48" s="2"/>
      <c r="AL48" s="2">
        <v>2500</v>
      </c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</row>
    <row r="49" spans="34:49" x14ac:dyDescent="0.25">
      <c r="AH49" s="159"/>
      <c r="AI49" s="151"/>
      <c r="AJ49" s="2" t="s">
        <v>608</v>
      </c>
      <c r="AK49" s="2"/>
      <c r="AL49" s="2" t="s">
        <v>608</v>
      </c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</row>
    <row r="50" spans="34:49" x14ac:dyDescent="0.25">
      <c r="AH50" s="158" t="s">
        <v>770</v>
      </c>
      <c r="AI50" s="150" t="s">
        <v>997</v>
      </c>
      <c r="AJ50" s="2">
        <v>250</v>
      </c>
      <c r="AK50" s="2"/>
      <c r="AL50" s="2">
        <v>2500</v>
      </c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</row>
    <row r="51" spans="34:49" x14ac:dyDescent="0.25">
      <c r="AH51" s="159"/>
      <c r="AI51" s="151"/>
      <c r="AJ51" s="2" t="s">
        <v>771</v>
      </c>
      <c r="AK51" s="2"/>
      <c r="AL51" s="2" t="s">
        <v>771</v>
      </c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</row>
    <row r="52" spans="34:49" x14ac:dyDescent="0.25">
      <c r="AH52" s="158" t="s">
        <v>772</v>
      </c>
      <c r="AI52" s="150" t="s">
        <v>998</v>
      </c>
      <c r="AJ52" s="2">
        <v>250</v>
      </c>
      <c r="AK52" s="2"/>
      <c r="AL52" s="2">
        <v>2500</v>
      </c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</row>
    <row r="53" spans="34:49" x14ac:dyDescent="0.25">
      <c r="AH53" s="159"/>
      <c r="AI53" s="151"/>
      <c r="AJ53" s="2" t="s">
        <v>773</v>
      </c>
      <c r="AK53" s="2"/>
      <c r="AL53" s="2" t="s">
        <v>773</v>
      </c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</row>
    <row r="54" spans="34:49" x14ac:dyDescent="0.25">
      <c r="AH54" s="158"/>
      <c r="AI54" s="150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</row>
    <row r="55" spans="34:49" x14ac:dyDescent="0.25">
      <c r="AH55" s="159"/>
      <c r="AI55" s="151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</row>
    <row r="56" spans="34:49" x14ac:dyDescent="0.25">
      <c r="AH56" s="158"/>
      <c r="AI56" s="150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</row>
    <row r="57" spans="34:49" x14ac:dyDescent="0.25">
      <c r="AH57" s="159"/>
      <c r="AI57" s="151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</row>
    <row r="58" spans="34:49" x14ac:dyDescent="0.25">
      <c r="AH58" s="158"/>
      <c r="AI58" s="150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</row>
    <row r="59" spans="34:49" x14ac:dyDescent="0.25">
      <c r="AH59" s="159"/>
      <c r="AI59" s="151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</row>
    <row r="60" spans="34:49" x14ac:dyDescent="0.25">
      <c r="AH60" s="158"/>
      <c r="AI60" s="150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</row>
    <row r="61" spans="34:49" x14ac:dyDescent="0.25">
      <c r="AH61" s="159"/>
      <c r="AI61" s="151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</row>
    <row r="62" spans="34:49" x14ac:dyDescent="0.25">
      <c r="AH62" s="158"/>
      <c r="AI62" s="150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</row>
    <row r="63" spans="34:49" x14ac:dyDescent="0.25">
      <c r="AH63" s="159"/>
      <c r="AI63" s="151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</row>
  </sheetData>
  <mergeCells count="358">
    <mergeCell ref="FN31:FN32"/>
    <mergeCell ref="FO31:FO32"/>
    <mergeCell ref="FN33:FN34"/>
    <mergeCell ref="FO33:FO34"/>
    <mergeCell ref="FN21:FN22"/>
    <mergeCell ref="FO21:FO22"/>
    <mergeCell ref="FN23:FN24"/>
    <mergeCell ref="FO23:FO24"/>
    <mergeCell ref="FN25:FN26"/>
    <mergeCell ref="FO25:FO26"/>
    <mergeCell ref="FN27:FN28"/>
    <mergeCell ref="FO27:FO28"/>
    <mergeCell ref="FN29:FN30"/>
    <mergeCell ref="FO29:FO30"/>
    <mergeCell ref="CI17:CI18"/>
    <mergeCell ref="ED20:ED21"/>
    <mergeCell ref="EC22:EC23"/>
    <mergeCell ref="ED22:ED23"/>
    <mergeCell ref="EC24:EC25"/>
    <mergeCell ref="ED24:ED25"/>
    <mergeCell ref="EC26:EC27"/>
    <mergeCell ref="ED26:ED27"/>
    <mergeCell ref="DF16:DF17"/>
    <mergeCell ref="EW27:EW28"/>
    <mergeCell ref="EX27:EX28"/>
    <mergeCell ref="EW29:EW30"/>
    <mergeCell ref="EX29:EX30"/>
    <mergeCell ref="EW31:EW32"/>
    <mergeCell ref="EX31:EX32"/>
    <mergeCell ref="BO23:BO24"/>
    <mergeCell ref="BP29:BP30"/>
    <mergeCell ref="BO31:BO32"/>
    <mergeCell ref="BP31:BP32"/>
    <mergeCell ref="EC32:EC33"/>
    <mergeCell ref="ED32:ED33"/>
    <mergeCell ref="EC30:EC31"/>
    <mergeCell ref="ED30:ED31"/>
    <mergeCell ref="EW17:EW18"/>
    <mergeCell ref="EX17:EX18"/>
    <mergeCell ref="EW19:EW20"/>
    <mergeCell ref="EX19:EX20"/>
    <mergeCell ref="EW21:EW22"/>
    <mergeCell ref="EX21:EX22"/>
    <mergeCell ref="EW23:EW24"/>
    <mergeCell ref="EX23:EX24"/>
    <mergeCell ref="EW25:EW26"/>
    <mergeCell ref="EX25:EX26"/>
    <mergeCell ref="CM3:CR5"/>
    <mergeCell ref="BQ3:BV5"/>
    <mergeCell ref="AH56:AH57"/>
    <mergeCell ref="AI56:AI57"/>
    <mergeCell ref="AH58:AH59"/>
    <mergeCell ref="AI58:AI59"/>
    <mergeCell ref="AH60:AH61"/>
    <mergeCell ref="AI60:AI61"/>
    <mergeCell ref="CH21:CH22"/>
    <mergeCell ref="CI21:CI22"/>
    <mergeCell ref="CH23:CH24"/>
    <mergeCell ref="CI23:CI24"/>
    <mergeCell ref="CH25:CH26"/>
    <mergeCell ref="CI25:CI26"/>
    <mergeCell ref="CH27:CH28"/>
    <mergeCell ref="CI27:CI28"/>
    <mergeCell ref="CH11:CH12"/>
    <mergeCell ref="CI11:CI12"/>
    <mergeCell ref="CH13:CH14"/>
    <mergeCell ref="CI13:CI14"/>
    <mergeCell ref="CH15:CH16"/>
    <mergeCell ref="CI15:CI16"/>
    <mergeCell ref="CH19:CH20"/>
    <mergeCell ref="CI19:CI20"/>
    <mergeCell ref="CI7:CI8"/>
    <mergeCell ref="CH9:CH10"/>
    <mergeCell ref="CI9:CI10"/>
    <mergeCell ref="AH62:AH63"/>
    <mergeCell ref="AI62:AI63"/>
    <mergeCell ref="AH46:AH47"/>
    <mergeCell ref="AI46:AI47"/>
    <mergeCell ref="AH48:AH49"/>
    <mergeCell ref="AI48:AI49"/>
    <mergeCell ref="AH50:AH51"/>
    <mergeCell ref="AI50:AI51"/>
    <mergeCell ref="AH52:AH53"/>
    <mergeCell ref="AI52:AI53"/>
    <mergeCell ref="AH54:AH55"/>
    <mergeCell ref="AI54:AI55"/>
    <mergeCell ref="BO43:BO44"/>
    <mergeCell ref="BP43:BP44"/>
    <mergeCell ref="BO33:BO34"/>
    <mergeCell ref="BP33:BP34"/>
    <mergeCell ref="BO35:BO36"/>
    <mergeCell ref="BP35:BP36"/>
    <mergeCell ref="BO15:BO16"/>
    <mergeCell ref="BP15:BP16"/>
    <mergeCell ref="BO7:BO8"/>
    <mergeCell ref="BP7:BP8"/>
    <mergeCell ref="BO9:BO10"/>
    <mergeCell ref="BP9:BP10"/>
    <mergeCell ref="BO11:BO12"/>
    <mergeCell ref="BP11:BP12"/>
    <mergeCell ref="BO13:BO14"/>
    <mergeCell ref="BP13:BP14"/>
    <mergeCell ref="CH7:CH8"/>
    <mergeCell ref="B24:B25"/>
    <mergeCell ref="C24:C25"/>
    <mergeCell ref="B14:B15"/>
    <mergeCell ref="C14:C15"/>
    <mergeCell ref="BP17:BP18"/>
    <mergeCell ref="BP21:BP22"/>
    <mergeCell ref="BP23:BP24"/>
    <mergeCell ref="BP25:BP26"/>
    <mergeCell ref="CH17:CH18"/>
    <mergeCell ref="BP19:BP20"/>
    <mergeCell ref="B26:B27"/>
    <mergeCell ref="C26:C27"/>
    <mergeCell ref="B28:B29"/>
    <mergeCell ref="C28:C29"/>
    <mergeCell ref="B30:B31"/>
    <mergeCell ref="C30:C31"/>
    <mergeCell ref="BO17:BO18"/>
    <mergeCell ref="R20:R21"/>
    <mergeCell ref="S20:S21"/>
    <mergeCell ref="R22:R23"/>
    <mergeCell ref="S22:S23"/>
    <mergeCell ref="AI18:AI19"/>
    <mergeCell ref="AH20:AH21"/>
    <mergeCell ref="AI20:AI21"/>
    <mergeCell ref="BO19:BO20"/>
    <mergeCell ref="BO25:BO26"/>
    <mergeCell ref="B16:B17"/>
    <mergeCell ref="C16:C17"/>
    <mergeCell ref="B18:B19"/>
    <mergeCell ref="C18:C19"/>
    <mergeCell ref="B20:B21"/>
    <mergeCell ref="C20:C21"/>
    <mergeCell ref="BO21:BO22"/>
    <mergeCell ref="B34:B35"/>
    <mergeCell ref="C34:C35"/>
    <mergeCell ref="B42:B43"/>
    <mergeCell ref="C42:C43"/>
    <mergeCell ref="B44:B45"/>
    <mergeCell ref="C44:C45"/>
    <mergeCell ref="B36:B37"/>
    <mergeCell ref="C36:C37"/>
    <mergeCell ref="B38:B39"/>
    <mergeCell ref="C38:C39"/>
    <mergeCell ref="B40:B41"/>
    <mergeCell ref="C40:C41"/>
    <mergeCell ref="B32:B33"/>
    <mergeCell ref="C32:C33"/>
    <mergeCell ref="B22:B23"/>
    <mergeCell ref="C22:C23"/>
    <mergeCell ref="B12:B13"/>
    <mergeCell ref="C12:C13"/>
    <mergeCell ref="U5:Z6"/>
    <mergeCell ref="R8:R9"/>
    <mergeCell ref="S8:S9"/>
    <mergeCell ref="R10:R11"/>
    <mergeCell ref="S10:S11"/>
    <mergeCell ref="R12:R13"/>
    <mergeCell ref="S12:S13"/>
    <mergeCell ref="E5:J6"/>
    <mergeCell ref="B8:B9"/>
    <mergeCell ref="C8:C9"/>
    <mergeCell ref="B10:B11"/>
    <mergeCell ref="C10:C11"/>
    <mergeCell ref="R14:R15"/>
    <mergeCell ref="S14:S15"/>
    <mergeCell ref="R16:R17"/>
    <mergeCell ref="S16:S17"/>
    <mergeCell ref="R18:R19"/>
    <mergeCell ref="S18:S19"/>
    <mergeCell ref="R32:R33"/>
    <mergeCell ref="S32:S33"/>
    <mergeCell ref="R34:R35"/>
    <mergeCell ref="S34:S35"/>
    <mergeCell ref="R24:R25"/>
    <mergeCell ref="S24:S25"/>
    <mergeCell ref="R26:R27"/>
    <mergeCell ref="S26:S27"/>
    <mergeCell ref="R28:R29"/>
    <mergeCell ref="S28:S29"/>
    <mergeCell ref="R42:R43"/>
    <mergeCell ref="S42:S43"/>
    <mergeCell ref="R44:R45"/>
    <mergeCell ref="S44:S45"/>
    <mergeCell ref="AK5:AP6"/>
    <mergeCell ref="AH8:AH9"/>
    <mergeCell ref="AI8:AI9"/>
    <mergeCell ref="AH10:AH11"/>
    <mergeCell ref="AI10:AI11"/>
    <mergeCell ref="AH12:AH13"/>
    <mergeCell ref="AI12:AI13"/>
    <mergeCell ref="AH14:AH15"/>
    <mergeCell ref="AI14:AI15"/>
    <mergeCell ref="AH16:AH17"/>
    <mergeCell ref="AI16:AI17"/>
    <mergeCell ref="AH18:AH19"/>
    <mergeCell ref="R36:R37"/>
    <mergeCell ref="S36:S37"/>
    <mergeCell ref="R38:R39"/>
    <mergeCell ref="S38:S39"/>
    <mergeCell ref="R40:R41"/>
    <mergeCell ref="S40:S41"/>
    <mergeCell ref="R30:R31"/>
    <mergeCell ref="S30:S31"/>
    <mergeCell ref="AH44:AH45"/>
    <mergeCell ref="AI44:AI45"/>
    <mergeCell ref="AH42:AH43"/>
    <mergeCell ref="AI42:AI43"/>
    <mergeCell ref="AI22:AI23"/>
    <mergeCell ref="AH24:AH25"/>
    <mergeCell ref="AI24:AI25"/>
    <mergeCell ref="AH26:AH27"/>
    <mergeCell ref="AI26:AI27"/>
    <mergeCell ref="AH34:AH35"/>
    <mergeCell ref="AI34:AI35"/>
    <mergeCell ref="AH36:AH37"/>
    <mergeCell ref="AI36:AI37"/>
    <mergeCell ref="AH38:AH39"/>
    <mergeCell ref="AI38:AI39"/>
    <mergeCell ref="AH28:AH29"/>
    <mergeCell ref="AI28:AI29"/>
    <mergeCell ref="AH30:AH31"/>
    <mergeCell ref="AI30:AI31"/>
    <mergeCell ref="AH32:AH33"/>
    <mergeCell ref="AI32:AI33"/>
    <mergeCell ref="BA5:BF6"/>
    <mergeCell ref="AY8:AY9"/>
    <mergeCell ref="AZ8:AZ9"/>
    <mergeCell ref="AY10:AY11"/>
    <mergeCell ref="AZ10:AZ11"/>
    <mergeCell ref="AH40:AH41"/>
    <mergeCell ref="AI40:AI41"/>
    <mergeCell ref="AY18:AY19"/>
    <mergeCell ref="AZ18:AZ19"/>
    <mergeCell ref="AY26:AY27"/>
    <mergeCell ref="AZ26:AZ27"/>
    <mergeCell ref="AY20:AY21"/>
    <mergeCell ref="AZ20:AZ21"/>
    <mergeCell ref="AY12:AY13"/>
    <mergeCell ref="AZ12:AZ13"/>
    <mergeCell ref="AY14:AY15"/>
    <mergeCell ref="AZ14:AZ15"/>
    <mergeCell ref="AY16:AY17"/>
    <mergeCell ref="AZ16:AZ17"/>
    <mergeCell ref="AH22:AH23"/>
    <mergeCell ref="AY30:AY31"/>
    <mergeCell ref="AZ30:AZ31"/>
    <mergeCell ref="AY32:AY33"/>
    <mergeCell ref="AZ32:AZ33"/>
    <mergeCell ref="BO37:BO38"/>
    <mergeCell ref="BP37:BP38"/>
    <mergeCell ref="BO39:BO40"/>
    <mergeCell ref="BP39:BP40"/>
    <mergeCell ref="AY40:AY41"/>
    <mergeCell ref="AZ40:AZ41"/>
    <mergeCell ref="BO41:BO42"/>
    <mergeCell ref="BP41:BP42"/>
    <mergeCell ref="DE8:DE9"/>
    <mergeCell ref="DE22:DE23"/>
    <mergeCell ref="DE24:DE25"/>
    <mergeCell ref="DE26:DE27"/>
    <mergeCell ref="AY42:AY43"/>
    <mergeCell ref="AZ42:AZ43"/>
    <mergeCell ref="DE38:DE39"/>
    <mergeCell ref="BO27:BO28"/>
    <mergeCell ref="BP27:BP28"/>
    <mergeCell ref="BO29:BO30"/>
    <mergeCell ref="DE10:DE11"/>
    <mergeCell ref="DE12:DE13"/>
    <mergeCell ref="DE14:DE15"/>
    <mergeCell ref="DE16:DE17"/>
    <mergeCell ref="DE18:DE19"/>
    <mergeCell ref="DE20:DE21"/>
    <mergeCell ref="AY44:AY45"/>
    <mergeCell ref="AZ44:AZ45"/>
    <mergeCell ref="AY34:AY35"/>
    <mergeCell ref="AZ34:AZ35"/>
    <mergeCell ref="AY36:AY37"/>
    <mergeCell ref="AZ36:AZ37"/>
    <mergeCell ref="AY38:AY39"/>
    <mergeCell ref="AZ38:AZ39"/>
    <mergeCell ref="AY22:AY23"/>
    <mergeCell ref="AZ22:AZ23"/>
    <mergeCell ref="AY24:AY25"/>
    <mergeCell ref="AZ24:AZ25"/>
    <mergeCell ref="AY28:AY29"/>
    <mergeCell ref="AZ28:AZ29"/>
    <mergeCell ref="DE42:DE43"/>
    <mergeCell ref="DE44:DE45"/>
    <mergeCell ref="DE28:DE29"/>
    <mergeCell ref="DE30:DE31"/>
    <mergeCell ref="DE32:DE33"/>
    <mergeCell ref="DE34:DE35"/>
    <mergeCell ref="DE36:DE37"/>
    <mergeCell ref="DE40:DE41"/>
    <mergeCell ref="EC18:EC19"/>
    <mergeCell ref="DF40:DF41"/>
    <mergeCell ref="DF42:DF43"/>
    <mergeCell ref="DF44:DF45"/>
    <mergeCell ref="DF32:DF33"/>
    <mergeCell ref="DF34:DF35"/>
    <mergeCell ref="DF36:DF37"/>
    <mergeCell ref="DF38:DF39"/>
    <mergeCell ref="EC20:EC21"/>
    <mergeCell ref="DF18:DF19"/>
    <mergeCell ref="DF20:DF21"/>
    <mergeCell ref="EC28:EC29"/>
    <mergeCell ref="EC10:EC11"/>
    <mergeCell ref="ED10:ED11"/>
    <mergeCell ref="DF22:DF23"/>
    <mergeCell ref="DF24:DF25"/>
    <mergeCell ref="DF26:DF27"/>
    <mergeCell ref="DF28:DF29"/>
    <mergeCell ref="DF30:DF31"/>
    <mergeCell ref="EC12:EC13"/>
    <mergeCell ref="ED12:ED13"/>
    <mergeCell ref="EC14:EC15"/>
    <mergeCell ref="ED14:ED15"/>
    <mergeCell ref="EC16:EC17"/>
    <mergeCell ref="ED16:ED17"/>
    <mergeCell ref="ED28:ED29"/>
    <mergeCell ref="ED18:ED19"/>
    <mergeCell ref="FQ4:FV5"/>
    <mergeCell ref="FN7:FN8"/>
    <mergeCell ref="FO7:FO8"/>
    <mergeCell ref="DF8:DF9"/>
    <mergeCell ref="DF10:DF11"/>
    <mergeCell ref="DF12:DF13"/>
    <mergeCell ref="DF14:DF15"/>
    <mergeCell ref="DG4:DL6"/>
    <mergeCell ref="EF4:EK6"/>
    <mergeCell ref="EZ3:FE5"/>
    <mergeCell ref="EW7:EW8"/>
    <mergeCell ref="EX7:EX8"/>
    <mergeCell ref="EW9:EW10"/>
    <mergeCell ref="EX9:EX10"/>
    <mergeCell ref="EW11:EW12"/>
    <mergeCell ref="EX11:EX12"/>
    <mergeCell ref="EW13:EW14"/>
    <mergeCell ref="EX13:EX14"/>
    <mergeCell ref="EW15:EW16"/>
    <mergeCell ref="EX15:EX16"/>
    <mergeCell ref="FN11:FN12"/>
    <mergeCell ref="FO11:FO12"/>
    <mergeCell ref="EC8:EC9"/>
    <mergeCell ref="ED8:ED9"/>
    <mergeCell ref="FN13:FN14"/>
    <mergeCell ref="FO13:FO14"/>
    <mergeCell ref="FN15:FN16"/>
    <mergeCell ref="FO15:FO16"/>
    <mergeCell ref="FN17:FN18"/>
    <mergeCell ref="FO17:FO18"/>
    <mergeCell ref="FN19:FN20"/>
    <mergeCell ref="FO19:FO20"/>
    <mergeCell ref="FN9:FN10"/>
    <mergeCell ref="FO9:FO10"/>
  </mergeCells>
  <phoneticPr fontId="6" type="noConversion"/>
  <pageMargins left="0.7" right="0.7" top="0.75" bottom="0.75" header="0.3" footer="0.3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28D7F-5892-4EBB-BEEF-77D64B7EE8C2}">
  <dimension ref="B1:FQ71"/>
  <sheetViews>
    <sheetView rightToLeft="1" topLeftCell="DX1" zoomScale="110" zoomScaleNormal="110" workbookViewId="0">
      <selection activeCell="EI8" sqref="EI8:EL47"/>
    </sheetView>
  </sheetViews>
  <sheetFormatPr defaultColWidth="11.42578125" defaultRowHeight="15" x14ac:dyDescent="0.25"/>
  <cols>
    <col min="2" max="2" width="15.140625" bestFit="1" customWidth="1"/>
    <col min="3" max="3" width="25.85546875" bestFit="1" customWidth="1"/>
    <col min="4" max="5" width="18.7109375" bestFit="1" customWidth="1"/>
    <col min="18" max="18" width="16.42578125" customWidth="1"/>
    <col min="19" max="19" width="25.85546875" bestFit="1" customWidth="1"/>
    <col min="20" max="20" width="18.7109375" bestFit="1" customWidth="1"/>
    <col min="21" max="21" width="20.42578125" customWidth="1"/>
    <col min="34" max="34" width="17.5703125" customWidth="1"/>
    <col min="35" max="35" width="25.85546875" bestFit="1" customWidth="1"/>
    <col min="36" max="37" width="18.7109375" bestFit="1" customWidth="1"/>
    <col min="38" max="38" width="11" bestFit="1" customWidth="1"/>
    <col min="50" max="50" width="15.7109375" customWidth="1"/>
    <col min="51" max="51" width="25.85546875" bestFit="1" customWidth="1"/>
    <col min="52" max="53" width="18.7109375" bestFit="1" customWidth="1"/>
    <col min="66" max="66" width="17.7109375" customWidth="1"/>
    <col min="67" max="67" width="25.85546875" bestFit="1" customWidth="1"/>
    <col min="68" max="69" width="24.5703125" bestFit="1" customWidth="1"/>
    <col min="70" max="70" width="18.7109375" bestFit="1" customWidth="1"/>
    <col min="83" max="83" width="8.85546875" customWidth="1"/>
    <col min="84" max="84" width="7.7109375" customWidth="1"/>
    <col min="87" max="87" width="11.42578125" customWidth="1"/>
    <col min="88" max="88" width="7.85546875" customWidth="1"/>
    <col min="89" max="89" width="16.140625" customWidth="1"/>
    <col min="90" max="90" width="16.28515625" customWidth="1"/>
    <col min="91" max="91" width="16.85546875" customWidth="1"/>
    <col min="92" max="92" width="18.28515625" bestFit="1" customWidth="1"/>
    <col min="109" max="109" width="22.42578125" customWidth="1"/>
    <col min="110" max="110" width="25.85546875" bestFit="1" customWidth="1"/>
    <col min="111" max="111" width="20.85546875" customWidth="1"/>
    <col min="112" max="112" width="18.42578125" customWidth="1"/>
    <col min="113" max="113" width="15.5703125" customWidth="1"/>
    <col min="114" max="114" width="13.85546875" customWidth="1"/>
    <col min="115" max="115" width="14.5703125" customWidth="1"/>
    <col min="116" max="116" width="15" customWidth="1"/>
    <col min="138" max="138" width="8.85546875" customWidth="1"/>
    <col min="139" max="139" width="18.5703125" customWidth="1"/>
    <col min="140" max="140" width="18" customWidth="1"/>
    <col min="141" max="141" width="21" customWidth="1"/>
    <col min="142" max="142" width="18.42578125" customWidth="1"/>
    <col min="158" max="158" width="8.85546875" customWidth="1"/>
    <col min="159" max="159" width="19" customWidth="1"/>
    <col min="160" max="160" width="19.28515625" customWidth="1"/>
    <col min="161" max="161" width="17.28515625" customWidth="1"/>
    <col min="162" max="162" width="19" customWidth="1"/>
    <col min="163" max="163" width="19.28515625" customWidth="1"/>
  </cols>
  <sheetData>
    <row r="1" spans="2:173" ht="30" customHeight="1" x14ac:dyDescent="0.25"/>
    <row r="2" spans="2:173" ht="21.75" customHeight="1" x14ac:dyDescent="0.25">
      <c r="DI2" s="238" t="s">
        <v>213</v>
      </c>
      <c r="DJ2" s="239"/>
      <c r="DK2" s="239"/>
      <c r="DL2" s="239"/>
      <c r="DM2" s="239"/>
      <c r="DN2" s="240"/>
    </row>
    <row r="3" spans="2:173" ht="23.25" customHeight="1" x14ac:dyDescent="0.25">
      <c r="DI3" s="241"/>
      <c r="DJ3" s="242"/>
      <c r="DK3" s="242"/>
      <c r="DL3" s="242"/>
      <c r="DM3" s="242"/>
      <c r="DN3" s="243"/>
    </row>
    <row r="4" spans="2:173" ht="31.5" customHeight="1" x14ac:dyDescent="0.35">
      <c r="CO4" s="232" t="s">
        <v>212</v>
      </c>
      <c r="CP4" s="233"/>
      <c r="CQ4" s="233"/>
      <c r="CR4" s="233"/>
      <c r="CS4" s="233"/>
      <c r="CT4" s="234"/>
      <c r="DE4" s="7" t="s">
        <v>0</v>
      </c>
      <c r="DF4" s="7" t="s">
        <v>1</v>
      </c>
      <c r="DG4" s="8" t="s">
        <v>2</v>
      </c>
      <c r="DH4" s="7" t="s">
        <v>3</v>
      </c>
      <c r="DI4" s="7" t="s">
        <v>4</v>
      </c>
      <c r="DJ4" s="7" t="s">
        <v>5</v>
      </c>
      <c r="DK4" s="7" t="s">
        <v>6</v>
      </c>
      <c r="DL4" s="7" t="s">
        <v>7</v>
      </c>
      <c r="DM4" s="1" t="s">
        <v>8</v>
      </c>
      <c r="DN4" s="1" t="s">
        <v>9</v>
      </c>
      <c r="DO4" s="1" t="s">
        <v>10</v>
      </c>
      <c r="DP4" s="1" t="s">
        <v>11</v>
      </c>
      <c r="DQ4" s="1" t="s">
        <v>12</v>
      </c>
      <c r="DR4" s="1" t="s">
        <v>13</v>
      </c>
      <c r="DS4" s="1" t="s">
        <v>14</v>
      </c>
      <c r="FF4" s="226"/>
      <c r="FG4" s="227"/>
      <c r="FH4" s="227"/>
      <c r="FI4" s="227"/>
      <c r="FJ4" s="227"/>
      <c r="FK4" s="228"/>
    </row>
    <row r="5" spans="2:173" ht="23.25" customHeight="1" x14ac:dyDescent="0.25">
      <c r="E5" s="198" t="s">
        <v>63</v>
      </c>
      <c r="F5" s="199"/>
      <c r="G5" s="199"/>
      <c r="H5" s="199"/>
      <c r="I5" s="199"/>
      <c r="J5" s="200"/>
      <c r="U5" s="198" t="s">
        <v>67</v>
      </c>
      <c r="V5" s="199"/>
      <c r="W5" s="199"/>
      <c r="X5" s="199"/>
      <c r="Y5" s="199"/>
      <c r="Z5" s="200"/>
      <c r="AK5" s="217" t="s">
        <v>68</v>
      </c>
      <c r="AL5" s="218"/>
      <c r="AM5" s="218"/>
      <c r="AN5" s="218"/>
      <c r="AO5" s="218"/>
      <c r="AP5" s="219"/>
      <c r="BA5" s="217" t="s">
        <v>69</v>
      </c>
      <c r="BB5" s="218"/>
      <c r="BC5" s="218"/>
      <c r="BD5" s="218"/>
      <c r="BE5" s="218"/>
      <c r="BF5" s="219"/>
      <c r="BQ5" s="244" t="s">
        <v>70</v>
      </c>
      <c r="BR5" s="245"/>
      <c r="BS5" s="245"/>
      <c r="BT5" s="245"/>
      <c r="BU5" s="245"/>
      <c r="BV5" s="246"/>
      <c r="CO5" s="235"/>
      <c r="CP5" s="236"/>
      <c r="CQ5" s="236"/>
      <c r="CR5" s="236"/>
      <c r="CS5" s="236"/>
      <c r="CT5" s="237"/>
      <c r="DE5" s="150" t="s">
        <v>811</v>
      </c>
      <c r="DF5" s="150" t="s">
        <v>1022</v>
      </c>
      <c r="DG5" s="2">
        <v>250</v>
      </c>
      <c r="DH5" s="2">
        <v>1500</v>
      </c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EN5" s="204" t="s">
        <v>214</v>
      </c>
      <c r="EO5" s="205"/>
      <c r="EP5" s="205"/>
      <c r="EQ5" s="205"/>
      <c r="ER5" s="205"/>
      <c r="ES5" s="206"/>
      <c r="FF5" s="229"/>
      <c r="FG5" s="230"/>
      <c r="FH5" s="230"/>
      <c r="FI5" s="230"/>
      <c r="FJ5" s="230"/>
      <c r="FK5" s="231"/>
    </row>
    <row r="6" spans="2:173" ht="21" customHeight="1" x14ac:dyDescent="0.35">
      <c r="E6" s="201"/>
      <c r="F6" s="202"/>
      <c r="G6" s="202"/>
      <c r="H6" s="202"/>
      <c r="I6" s="202"/>
      <c r="J6" s="203"/>
      <c r="U6" s="201"/>
      <c r="V6" s="202"/>
      <c r="W6" s="202"/>
      <c r="X6" s="202"/>
      <c r="Y6" s="202"/>
      <c r="Z6" s="203"/>
      <c r="AK6" s="220"/>
      <c r="AL6" s="221"/>
      <c r="AM6" s="221"/>
      <c r="AN6" s="221"/>
      <c r="AO6" s="221"/>
      <c r="AP6" s="222"/>
      <c r="BA6" s="220"/>
      <c r="BB6" s="221"/>
      <c r="BC6" s="221"/>
      <c r="BD6" s="221"/>
      <c r="BE6" s="221"/>
      <c r="BF6" s="222"/>
      <c r="BQ6" s="247"/>
      <c r="BR6" s="248"/>
      <c r="BS6" s="248"/>
      <c r="BT6" s="248"/>
      <c r="BU6" s="248"/>
      <c r="BV6" s="249"/>
      <c r="CK6" s="21" t="s">
        <v>215</v>
      </c>
      <c r="CL6" s="7" t="s">
        <v>1</v>
      </c>
      <c r="CM6" s="8" t="s">
        <v>2</v>
      </c>
      <c r="CN6" s="1" t="s">
        <v>3</v>
      </c>
      <c r="CO6" s="1" t="s">
        <v>4</v>
      </c>
      <c r="CP6" s="1" t="s">
        <v>5</v>
      </c>
      <c r="CQ6" s="1" t="s">
        <v>6</v>
      </c>
      <c r="CR6" s="1" t="s">
        <v>7</v>
      </c>
      <c r="CS6" s="1" t="s">
        <v>8</v>
      </c>
      <c r="CT6" s="1" t="s">
        <v>9</v>
      </c>
      <c r="CU6" s="1" t="s">
        <v>10</v>
      </c>
      <c r="CV6" s="1" t="s">
        <v>11</v>
      </c>
      <c r="CW6" s="1" t="s">
        <v>12</v>
      </c>
      <c r="CX6" s="1" t="s">
        <v>13</v>
      </c>
      <c r="CY6" s="1" t="s">
        <v>14</v>
      </c>
      <c r="DE6" s="151"/>
      <c r="DF6" s="151"/>
      <c r="DG6" s="2" t="s">
        <v>812</v>
      </c>
      <c r="DH6" s="2" t="s">
        <v>812</v>
      </c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EN6" s="207"/>
      <c r="EO6" s="208"/>
      <c r="EP6" s="208"/>
      <c r="EQ6" s="208"/>
      <c r="ER6" s="208"/>
      <c r="ES6" s="209"/>
      <c r="FC6" s="7"/>
      <c r="FD6" s="7"/>
      <c r="FE6" s="7"/>
      <c r="FF6" s="7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</row>
    <row r="7" spans="2:173" ht="21" customHeight="1" x14ac:dyDescent="0.35">
      <c r="B7" s="27" t="s">
        <v>0</v>
      </c>
      <c r="C7" s="1" t="s">
        <v>1</v>
      </c>
      <c r="D7" s="1" t="s">
        <v>2</v>
      </c>
      <c r="E7" s="20" t="s">
        <v>3</v>
      </c>
      <c r="F7" s="1" t="s">
        <v>4</v>
      </c>
      <c r="G7" s="1" t="s">
        <v>5</v>
      </c>
      <c r="H7" s="1" t="s">
        <v>6</v>
      </c>
      <c r="I7" s="1" t="s">
        <v>7</v>
      </c>
      <c r="J7" s="1" t="s">
        <v>8</v>
      </c>
      <c r="K7" s="1" t="s">
        <v>9</v>
      </c>
      <c r="L7" s="1" t="s">
        <v>10</v>
      </c>
      <c r="M7" s="1" t="s">
        <v>11</v>
      </c>
      <c r="N7" s="1" t="s">
        <v>12</v>
      </c>
      <c r="O7" s="1" t="s">
        <v>13</v>
      </c>
      <c r="P7" s="1" t="s">
        <v>14</v>
      </c>
      <c r="R7" s="27" t="s">
        <v>0</v>
      </c>
      <c r="S7" s="7" t="s">
        <v>1</v>
      </c>
      <c r="T7" s="1" t="s">
        <v>2</v>
      </c>
      <c r="U7" s="7" t="s">
        <v>3</v>
      </c>
      <c r="V7" s="1" t="s">
        <v>4</v>
      </c>
      <c r="W7" s="1" t="s">
        <v>5</v>
      </c>
      <c r="X7" s="1" t="s">
        <v>6</v>
      </c>
      <c r="Y7" s="1" t="s">
        <v>7</v>
      </c>
      <c r="Z7" s="1" t="s">
        <v>8</v>
      </c>
      <c r="AA7" s="1" t="s">
        <v>9</v>
      </c>
      <c r="AB7" s="1" t="s">
        <v>10</v>
      </c>
      <c r="AC7" s="1" t="s">
        <v>11</v>
      </c>
      <c r="AD7" s="1" t="s">
        <v>12</v>
      </c>
      <c r="AE7" s="1" t="s">
        <v>13</v>
      </c>
      <c r="AF7" s="1" t="s">
        <v>14</v>
      </c>
      <c r="AH7" s="26" t="s">
        <v>0</v>
      </c>
      <c r="AI7" s="7" t="s">
        <v>1</v>
      </c>
      <c r="AJ7" s="1" t="s">
        <v>2</v>
      </c>
      <c r="AK7" s="7" t="s">
        <v>3</v>
      </c>
      <c r="AL7" s="1" t="s">
        <v>4</v>
      </c>
      <c r="AM7" s="1" t="s">
        <v>5</v>
      </c>
      <c r="AN7" s="1" t="s">
        <v>6</v>
      </c>
      <c r="AO7" s="1" t="s">
        <v>7</v>
      </c>
      <c r="AP7" s="1" t="s">
        <v>8</v>
      </c>
      <c r="AQ7" s="1" t="s">
        <v>9</v>
      </c>
      <c r="AR7" s="1" t="s">
        <v>10</v>
      </c>
      <c r="AS7" s="1" t="s">
        <v>11</v>
      </c>
      <c r="AT7" s="1" t="s">
        <v>12</v>
      </c>
      <c r="AU7" s="1" t="s">
        <v>13</v>
      </c>
      <c r="AV7" s="1" t="s">
        <v>14</v>
      </c>
      <c r="AX7" s="25" t="s">
        <v>0</v>
      </c>
      <c r="AY7" s="7" t="s">
        <v>1</v>
      </c>
      <c r="AZ7" s="1" t="s">
        <v>2</v>
      </c>
      <c r="BA7" s="7" t="s">
        <v>3</v>
      </c>
      <c r="BB7" s="1" t="s">
        <v>4</v>
      </c>
      <c r="BC7" s="1" t="s">
        <v>5</v>
      </c>
      <c r="BD7" s="1" t="s">
        <v>6</v>
      </c>
      <c r="BE7" s="1" t="s">
        <v>7</v>
      </c>
      <c r="BF7" s="1" t="s">
        <v>8</v>
      </c>
      <c r="BG7" s="1" t="s">
        <v>9</v>
      </c>
      <c r="BH7" s="1" t="s">
        <v>10</v>
      </c>
      <c r="BI7" s="1" t="s">
        <v>11</v>
      </c>
      <c r="BJ7" s="1" t="s">
        <v>12</v>
      </c>
      <c r="BK7" s="1" t="s">
        <v>13</v>
      </c>
      <c r="BL7" s="1" t="s">
        <v>14</v>
      </c>
      <c r="BN7" s="24" t="s">
        <v>0</v>
      </c>
      <c r="BO7" s="7" t="s">
        <v>1</v>
      </c>
      <c r="BP7" s="1" t="s">
        <v>2</v>
      </c>
      <c r="BQ7" s="7" t="s">
        <v>3</v>
      </c>
      <c r="BR7" s="1" t="s">
        <v>4</v>
      </c>
      <c r="BS7" s="1" t="s">
        <v>5</v>
      </c>
      <c r="BT7" s="1" t="s">
        <v>6</v>
      </c>
      <c r="BU7" s="1" t="s">
        <v>7</v>
      </c>
      <c r="BV7" s="1" t="s">
        <v>8</v>
      </c>
      <c r="BW7" s="1" t="s">
        <v>9</v>
      </c>
      <c r="BX7" s="1" t="s">
        <v>10</v>
      </c>
      <c r="BY7" s="1" t="s">
        <v>11</v>
      </c>
      <c r="BZ7" s="1" t="s">
        <v>12</v>
      </c>
      <c r="CA7" s="1" t="s">
        <v>13</v>
      </c>
      <c r="CB7" s="1" t="s">
        <v>14</v>
      </c>
      <c r="CK7" s="213" t="s">
        <v>1147</v>
      </c>
      <c r="CL7" s="150"/>
      <c r="CM7" s="2">
        <v>250</v>
      </c>
      <c r="CN7" s="2">
        <v>1500</v>
      </c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DE7" s="150" t="s">
        <v>1195</v>
      </c>
      <c r="DF7" s="150"/>
      <c r="DG7" s="2">
        <v>250</v>
      </c>
      <c r="DH7" s="2">
        <v>1500</v>
      </c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EI7" s="18" t="s">
        <v>215</v>
      </c>
      <c r="EJ7" s="7" t="s">
        <v>1</v>
      </c>
      <c r="EK7" s="7" t="s">
        <v>2</v>
      </c>
      <c r="EL7" s="7" t="s">
        <v>3</v>
      </c>
      <c r="EM7" s="1" t="s">
        <v>4</v>
      </c>
      <c r="EN7" s="1" t="s">
        <v>5</v>
      </c>
      <c r="EO7" s="1" t="s">
        <v>6</v>
      </c>
      <c r="EP7" s="1" t="s">
        <v>7</v>
      </c>
      <c r="EQ7" s="1" t="s">
        <v>8</v>
      </c>
      <c r="ER7" s="1" t="s">
        <v>9</v>
      </c>
      <c r="ES7" s="1" t="s">
        <v>10</v>
      </c>
      <c r="ET7" s="1" t="s">
        <v>11</v>
      </c>
      <c r="EU7" s="1" t="s">
        <v>12</v>
      </c>
      <c r="EV7" s="1" t="s">
        <v>13</v>
      </c>
      <c r="EW7" s="1" t="s">
        <v>14</v>
      </c>
      <c r="FC7" s="150"/>
      <c r="FD7" s="150"/>
      <c r="FE7" s="2"/>
      <c r="FF7" s="2"/>
      <c r="FG7" s="2"/>
      <c r="FH7" s="2"/>
      <c r="FI7" s="2"/>
      <c r="FJ7" s="2"/>
      <c r="FK7" s="2"/>
      <c r="FL7" s="2"/>
      <c r="FM7" s="2"/>
      <c r="FN7" s="2"/>
      <c r="FO7" s="2"/>
      <c r="FP7" s="2"/>
      <c r="FQ7" s="2"/>
    </row>
    <row r="8" spans="2:173" x14ac:dyDescent="0.25">
      <c r="B8" s="192" t="s">
        <v>632</v>
      </c>
      <c r="C8" s="150" t="s">
        <v>686</v>
      </c>
      <c r="D8" s="2">
        <v>250</v>
      </c>
      <c r="E8" s="2">
        <v>1500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R8" s="192" t="s">
        <v>222</v>
      </c>
      <c r="S8" s="150" t="s">
        <v>223</v>
      </c>
      <c r="T8" s="2">
        <v>250</v>
      </c>
      <c r="U8" s="2">
        <v>1500</v>
      </c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H8" s="223" t="s">
        <v>64</v>
      </c>
      <c r="AI8" s="150" t="s">
        <v>65</v>
      </c>
      <c r="AJ8" s="2">
        <v>250</v>
      </c>
      <c r="AK8" s="2">
        <v>1500</v>
      </c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X8" s="223" t="s">
        <v>226</v>
      </c>
      <c r="AY8" s="150" t="s">
        <v>182</v>
      </c>
      <c r="AZ8" s="2">
        <v>250</v>
      </c>
      <c r="BA8" s="2">
        <v>1500</v>
      </c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N8" s="194" t="s">
        <v>64</v>
      </c>
      <c r="BO8" s="150" t="s">
        <v>65</v>
      </c>
      <c r="BP8" s="2">
        <v>250</v>
      </c>
      <c r="BQ8" s="2">
        <v>1500</v>
      </c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K8" s="214"/>
      <c r="CL8" s="151"/>
      <c r="CM8" s="2" t="s">
        <v>1148</v>
      </c>
      <c r="CN8" s="2" t="s">
        <v>1148</v>
      </c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DE8" s="151"/>
      <c r="DF8" s="151"/>
      <c r="DG8" s="2" t="s">
        <v>1196</v>
      </c>
      <c r="DH8" s="2" t="s">
        <v>1196</v>
      </c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EI8" s="210" t="s">
        <v>235</v>
      </c>
      <c r="EJ8" s="150" t="s">
        <v>236</v>
      </c>
      <c r="EK8" s="2">
        <v>250</v>
      </c>
      <c r="EL8" s="2">
        <v>1500</v>
      </c>
      <c r="EM8" s="2"/>
      <c r="EN8" s="2"/>
      <c r="EO8" s="2"/>
      <c r="EP8" s="2"/>
      <c r="EQ8" s="2"/>
      <c r="ER8" s="2"/>
      <c r="ES8" s="2"/>
      <c r="ET8" s="2"/>
      <c r="EU8" s="2"/>
      <c r="EV8" s="2"/>
      <c r="EW8" s="2"/>
      <c r="FC8" s="151"/>
      <c r="FD8" s="151"/>
      <c r="FE8" s="2"/>
      <c r="FF8" s="2"/>
      <c r="FG8" s="2"/>
      <c r="FH8" s="2"/>
      <c r="FI8" s="2"/>
      <c r="FJ8" s="2"/>
      <c r="FK8" s="2"/>
      <c r="FL8" s="2"/>
      <c r="FM8" s="2"/>
      <c r="FN8" s="2"/>
      <c r="FO8" s="2"/>
      <c r="FP8" s="2"/>
      <c r="FQ8" s="2"/>
    </row>
    <row r="9" spans="2:173" x14ac:dyDescent="0.25">
      <c r="B9" s="193"/>
      <c r="C9" s="151"/>
      <c r="D9" s="2" t="s">
        <v>633</v>
      </c>
      <c r="E9" s="2" t="s">
        <v>633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R9" s="193"/>
      <c r="S9" s="151"/>
      <c r="T9" s="2" t="s">
        <v>224</v>
      </c>
      <c r="U9" s="2" t="s">
        <v>637</v>
      </c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H9" s="224"/>
      <c r="AI9" s="151"/>
      <c r="AJ9" s="2" t="s">
        <v>66</v>
      </c>
      <c r="AK9" s="2" t="s">
        <v>792</v>
      </c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X9" s="224"/>
      <c r="AY9" s="151"/>
      <c r="AZ9" s="2" t="s">
        <v>227</v>
      </c>
      <c r="BA9" s="2" t="s">
        <v>227</v>
      </c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N9" s="195"/>
      <c r="BO9" s="151"/>
      <c r="BP9" s="2" t="s">
        <v>66</v>
      </c>
      <c r="BQ9" s="2" t="s">
        <v>793</v>
      </c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K9" s="22"/>
      <c r="CL9" s="1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DE9" s="150"/>
      <c r="DF9" s="150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EI9" s="211"/>
      <c r="EJ9" s="151"/>
      <c r="EK9" s="2" t="s">
        <v>237</v>
      </c>
      <c r="EL9" s="2" t="s">
        <v>840</v>
      </c>
      <c r="EM9" s="2"/>
      <c r="EN9" s="2"/>
      <c r="EO9" s="2"/>
      <c r="EP9" s="2"/>
      <c r="EQ9" s="2"/>
      <c r="ER9" s="2"/>
      <c r="ES9" s="2"/>
      <c r="ET9" s="2"/>
      <c r="EU9" s="2"/>
      <c r="EV9" s="2"/>
      <c r="EW9" s="2"/>
      <c r="FC9" s="150"/>
      <c r="FD9" s="150"/>
      <c r="FE9" s="2"/>
      <c r="FF9" s="2"/>
      <c r="FG9" s="2"/>
      <c r="FH9" s="2"/>
      <c r="FI9" s="2"/>
      <c r="FJ9" s="2"/>
      <c r="FK9" s="2"/>
      <c r="FL9" s="2"/>
      <c r="FM9" s="2"/>
      <c r="FN9" s="2"/>
      <c r="FO9" s="2"/>
      <c r="FP9" s="2"/>
      <c r="FQ9" s="2"/>
    </row>
    <row r="10" spans="2:173" ht="18.75" x14ac:dyDescent="0.25">
      <c r="B10" s="192" t="s">
        <v>232</v>
      </c>
      <c r="C10" s="150" t="s">
        <v>233</v>
      </c>
      <c r="D10" s="2">
        <v>250</v>
      </c>
      <c r="E10" s="2">
        <v>1500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R10" s="192" t="s">
        <v>235</v>
      </c>
      <c r="S10" s="150" t="s">
        <v>236</v>
      </c>
      <c r="T10" s="2">
        <v>250</v>
      </c>
      <c r="U10" s="2">
        <v>1500</v>
      </c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H10" s="140" t="s">
        <v>1068</v>
      </c>
      <c r="AI10" s="142" t="s">
        <v>1069</v>
      </c>
      <c r="AJ10" s="51">
        <v>250</v>
      </c>
      <c r="AK10" s="46">
        <v>1500</v>
      </c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X10" s="223" t="s">
        <v>229</v>
      </c>
      <c r="AY10" s="150" t="s">
        <v>230</v>
      </c>
      <c r="AZ10" s="2">
        <v>250</v>
      </c>
      <c r="BA10" s="2">
        <v>1500</v>
      </c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N10" s="194" t="s">
        <v>272</v>
      </c>
      <c r="BO10" s="150"/>
      <c r="BP10" s="2">
        <v>250</v>
      </c>
      <c r="BQ10" s="2">
        <v>1500</v>
      </c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K10" s="23"/>
      <c r="CL10" s="13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DE10" s="151"/>
      <c r="DF10" s="151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  <c r="EI10" s="210" t="s">
        <v>239</v>
      </c>
      <c r="EJ10" s="150" t="s">
        <v>240</v>
      </c>
      <c r="EK10" s="2">
        <v>250</v>
      </c>
      <c r="EL10" s="2"/>
      <c r="EM10" s="2"/>
      <c r="EN10" s="2"/>
      <c r="EO10" s="2"/>
      <c r="EP10" s="2"/>
      <c r="EQ10" s="2"/>
      <c r="ER10" s="2"/>
      <c r="ES10" s="2"/>
      <c r="ET10" s="2"/>
      <c r="EU10" s="2"/>
      <c r="EV10" s="2"/>
      <c r="EW10" s="2"/>
      <c r="FC10" s="151"/>
      <c r="FD10" s="151"/>
      <c r="FE10" s="2"/>
      <c r="FF10" s="2"/>
      <c r="FG10" s="2"/>
      <c r="FH10" s="2"/>
      <c r="FI10" s="2"/>
      <c r="FJ10" s="2"/>
      <c r="FK10" s="2"/>
      <c r="FL10" s="2"/>
      <c r="FM10" s="2"/>
      <c r="FN10" s="2"/>
      <c r="FO10" s="2"/>
      <c r="FP10" s="2"/>
      <c r="FQ10" s="2"/>
    </row>
    <row r="11" spans="2:173" ht="15.75" x14ac:dyDescent="0.25">
      <c r="B11" s="193"/>
      <c r="C11" s="151"/>
      <c r="D11" s="2" t="s">
        <v>234</v>
      </c>
      <c r="E11" s="2" t="s">
        <v>841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R11" s="193"/>
      <c r="S11" s="151"/>
      <c r="T11" s="2" t="s">
        <v>238</v>
      </c>
      <c r="U11" s="2" t="s">
        <v>1192</v>
      </c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H11" s="141"/>
      <c r="AI11" s="225"/>
      <c r="AJ11" s="51" t="s">
        <v>1070</v>
      </c>
      <c r="AK11" s="51" t="s">
        <v>1070</v>
      </c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X11" s="224"/>
      <c r="AY11" s="151"/>
      <c r="AZ11" s="2" t="s">
        <v>231</v>
      </c>
      <c r="BA11" s="79" t="s">
        <v>810</v>
      </c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N11" s="195"/>
      <c r="BO11" s="151"/>
      <c r="BP11" s="2" t="s">
        <v>273</v>
      </c>
      <c r="BQ11" s="2" t="s">
        <v>273</v>
      </c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K11" s="22"/>
      <c r="CL11" s="1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DE11" s="150"/>
      <c r="DF11" s="150"/>
      <c r="DG11" s="2"/>
      <c r="DH11" s="2"/>
      <c r="DI11" s="2"/>
      <c r="DJ11" s="2"/>
      <c r="DK11" s="2"/>
      <c r="DL11" s="2"/>
      <c r="DM11" s="2"/>
      <c r="DN11" s="2"/>
      <c r="DO11" s="2"/>
      <c r="DP11" s="2"/>
      <c r="DQ11" s="2"/>
      <c r="DR11" s="2"/>
      <c r="DS11" s="2"/>
      <c r="EI11" s="211"/>
      <c r="EJ11" s="151"/>
      <c r="EK11" s="2" t="s">
        <v>241</v>
      </c>
      <c r="EL11" s="2"/>
      <c r="EM11" s="2"/>
      <c r="EN11" s="2"/>
      <c r="EO11" s="2"/>
      <c r="EP11" s="2"/>
      <c r="EQ11" s="2"/>
      <c r="ER11" s="2"/>
      <c r="ES11" s="2"/>
      <c r="ET11" s="2"/>
      <c r="EU11" s="2"/>
      <c r="EV11" s="2"/>
      <c r="EW11" s="2"/>
      <c r="FC11" s="150"/>
      <c r="FD11" s="150"/>
      <c r="FE11" s="2"/>
      <c r="FF11" s="2"/>
      <c r="FG11" s="2"/>
      <c r="FH11" s="2"/>
      <c r="FI11" s="2"/>
      <c r="FJ11" s="2"/>
      <c r="FK11" s="2"/>
      <c r="FL11" s="2"/>
      <c r="FM11" s="2"/>
      <c r="FN11" s="2"/>
      <c r="FO11" s="2"/>
      <c r="FP11" s="2"/>
      <c r="FQ11" s="2"/>
    </row>
    <row r="12" spans="2:173" x14ac:dyDescent="0.25">
      <c r="B12" s="212" t="s">
        <v>1246</v>
      </c>
      <c r="C12" s="196"/>
      <c r="D12" s="2">
        <v>250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R12" s="192" t="s">
        <v>269</v>
      </c>
      <c r="S12" s="150" t="s">
        <v>268</v>
      </c>
      <c r="T12" s="2">
        <v>250</v>
      </c>
      <c r="U12" s="2">
        <v>1500</v>
      </c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H12" s="223" t="s">
        <v>239</v>
      </c>
      <c r="AI12" s="150" t="s">
        <v>240</v>
      </c>
      <c r="AJ12" s="2">
        <v>250</v>
      </c>
      <c r="AK12" s="2">
        <v>1500</v>
      </c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X12" s="223" t="s">
        <v>811</v>
      </c>
      <c r="AY12" s="150" t="s">
        <v>1022</v>
      </c>
      <c r="AZ12" s="2">
        <v>250</v>
      </c>
      <c r="BA12" s="2">
        <v>1500</v>
      </c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N12" s="194" t="s">
        <v>440</v>
      </c>
      <c r="BO12" s="150" t="s">
        <v>442</v>
      </c>
      <c r="BP12" s="2">
        <v>250</v>
      </c>
      <c r="BQ12" s="2">
        <v>1500</v>
      </c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K12" s="23"/>
      <c r="CL12" s="13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DE12" s="151"/>
      <c r="DF12" s="151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/>
      <c r="EI12" s="210" t="s">
        <v>267</v>
      </c>
      <c r="EJ12" s="150" t="s">
        <v>268</v>
      </c>
      <c r="EK12" s="2">
        <v>250</v>
      </c>
      <c r="EL12" s="2">
        <v>1500</v>
      </c>
      <c r="EM12" s="2"/>
      <c r="EN12" s="2"/>
      <c r="EO12" s="2"/>
      <c r="EP12" s="2"/>
      <c r="EQ12" s="2"/>
      <c r="ER12" s="2"/>
      <c r="ES12" s="2"/>
      <c r="ET12" s="2"/>
      <c r="EU12" s="2"/>
      <c r="EV12" s="2"/>
      <c r="EW12" s="2"/>
      <c r="FC12" s="151"/>
      <c r="FD12" s="151"/>
      <c r="FE12" s="2"/>
      <c r="FF12" s="2"/>
      <c r="FG12" s="2"/>
      <c r="FH12" s="2"/>
      <c r="FI12" s="2"/>
      <c r="FJ12" s="2"/>
      <c r="FK12" s="2"/>
      <c r="FL12" s="2"/>
      <c r="FM12" s="2"/>
      <c r="FN12" s="2"/>
      <c r="FO12" s="2"/>
      <c r="FP12" s="2"/>
      <c r="FQ12" s="2"/>
    </row>
    <row r="13" spans="2:173" x14ac:dyDescent="0.25">
      <c r="B13" s="212"/>
      <c r="C13" s="197"/>
      <c r="D13" s="2" t="s">
        <v>1248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R13" s="193"/>
      <c r="S13" s="151"/>
      <c r="T13" s="2" t="s">
        <v>261</v>
      </c>
      <c r="U13" s="2" t="s">
        <v>850</v>
      </c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H13" s="224"/>
      <c r="AI13" s="151"/>
      <c r="AJ13" s="2" t="s">
        <v>241</v>
      </c>
      <c r="AK13" s="2" t="s">
        <v>795</v>
      </c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X13" s="224"/>
      <c r="AY13" s="151"/>
      <c r="AZ13" s="2" t="s">
        <v>810</v>
      </c>
      <c r="BA13" s="2" t="s">
        <v>810</v>
      </c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N13" s="195"/>
      <c r="BO13" s="151"/>
      <c r="BP13" s="2" t="s">
        <v>441</v>
      </c>
      <c r="BQ13" s="2" t="s">
        <v>441</v>
      </c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K13" s="22"/>
      <c r="CL13" s="1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DE13" s="150"/>
      <c r="DF13" s="150"/>
      <c r="DG13" s="2"/>
      <c r="DH13" s="2"/>
      <c r="DI13" s="2"/>
      <c r="DJ13" s="2"/>
      <c r="DK13" s="2"/>
      <c r="DL13" s="2"/>
      <c r="DM13" s="2"/>
      <c r="DN13" s="2"/>
      <c r="DO13" s="2"/>
      <c r="DP13" s="2"/>
      <c r="DQ13" s="2"/>
      <c r="DR13" s="2"/>
      <c r="DS13" s="2"/>
      <c r="EI13" s="211"/>
      <c r="EJ13" s="151"/>
      <c r="EK13" s="2" t="s">
        <v>261</v>
      </c>
      <c r="EL13" s="2" t="s">
        <v>843</v>
      </c>
      <c r="EM13" s="2"/>
      <c r="EN13" s="2"/>
      <c r="EO13" s="2"/>
      <c r="EP13" s="2"/>
      <c r="EQ13" s="2"/>
      <c r="ER13" s="2"/>
      <c r="ES13" s="2"/>
      <c r="ET13" s="2"/>
      <c r="EU13" s="2"/>
      <c r="EV13" s="2"/>
      <c r="EW13" s="2"/>
      <c r="FC13" s="150"/>
      <c r="FD13" s="150"/>
      <c r="FE13" s="2"/>
      <c r="FF13" s="2"/>
      <c r="FG13" s="2"/>
      <c r="FH13" s="2"/>
      <c r="FI13" s="2"/>
      <c r="FJ13" s="2"/>
      <c r="FK13" s="2"/>
      <c r="FL13" s="2"/>
      <c r="FM13" s="2"/>
      <c r="FN13" s="2"/>
      <c r="FO13" s="2"/>
      <c r="FP13" s="2"/>
      <c r="FQ13" s="2"/>
    </row>
    <row r="14" spans="2:173" x14ac:dyDescent="0.25">
      <c r="B14" s="192" t="s">
        <v>270</v>
      </c>
      <c r="C14" s="150"/>
      <c r="D14" s="2">
        <v>250</v>
      </c>
      <c r="E14" s="2">
        <v>1500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R14" s="192" t="s">
        <v>64</v>
      </c>
      <c r="S14" s="150" t="s">
        <v>65</v>
      </c>
      <c r="T14" s="2">
        <v>250</v>
      </c>
      <c r="U14" s="2">
        <v>1500</v>
      </c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H14" s="223" t="s">
        <v>225</v>
      </c>
      <c r="AI14" s="150" t="s">
        <v>1023</v>
      </c>
      <c r="AJ14" s="2">
        <v>250</v>
      </c>
      <c r="AK14" s="2">
        <v>1500</v>
      </c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X14" s="223" t="s">
        <v>1167</v>
      </c>
      <c r="AY14" s="150"/>
      <c r="AZ14" s="2"/>
      <c r="BA14" s="2">
        <v>1500</v>
      </c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N14" s="194" t="s">
        <v>458</v>
      </c>
      <c r="BO14" s="150"/>
      <c r="BP14" s="2">
        <v>250</v>
      </c>
      <c r="BQ14" s="2">
        <v>1500</v>
      </c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K14" s="23"/>
      <c r="CL14" s="13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DE14" s="151"/>
      <c r="DF14" s="151"/>
      <c r="DG14" s="2"/>
      <c r="DH14" s="2"/>
      <c r="DI14" s="2"/>
      <c r="DJ14" s="2"/>
      <c r="DK14" s="2"/>
      <c r="DL14" s="2"/>
      <c r="DM14" s="2"/>
      <c r="DN14" s="2"/>
      <c r="DO14" s="2"/>
      <c r="DP14" s="2"/>
      <c r="DQ14" s="2"/>
      <c r="DR14" s="2"/>
      <c r="DS14" s="2"/>
      <c r="EI14" s="210" t="s">
        <v>367</v>
      </c>
      <c r="EJ14" s="150" t="s">
        <v>368</v>
      </c>
      <c r="EK14" s="2">
        <v>250</v>
      </c>
      <c r="EL14" s="2">
        <v>1500</v>
      </c>
      <c r="EM14" s="2"/>
      <c r="EN14" s="2"/>
      <c r="EO14" s="2"/>
      <c r="EP14" s="2"/>
      <c r="EQ14" s="2"/>
      <c r="ER14" s="2"/>
      <c r="ES14" s="2"/>
      <c r="ET14" s="2"/>
      <c r="EU14" s="2"/>
      <c r="EV14" s="2"/>
      <c r="EW14" s="2"/>
      <c r="FC14" s="151"/>
      <c r="FD14" s="151"/>
      <c r="FE14" s="2"/>
      <c r="FF14" s="2"/>
      <c r="FG14" s="2"/>
      <c r="FH14" s="2"/>
      <c r="FI14" s="2"/>
      <c r="FJ14" s="2"/>
      <c r="FK14" s="2"/>
      <c r="FL14" s="2"/>
      <c r="FM14" s="2"/>
      <c r="FN14" s="2"/>
      <c r="FO14" s="2"/>
      <c r="FP14" s="2"/>
      <c r="FQ14" s="2"/>
    </row>
    <row r="15" spans="2:173" x14ac:dyDescent="0.25">
      <c r="B15" s="193"/>
      <c r="C15" s="151"/>
      <c r="D15" s="2" t="s">
        <v>271</v>
      </c>
      <c r="E15" s="2" t="s">
        <v>271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R15" s="193"/>
      <c r="S15" s="151"/>
      <c r="T15" s="2" t="s">
        <v>66</v>
      </c>
      <c r="U15" s="2" t="s">
        <v>793</v>
      </c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H15" s="224"/>
      <c r="AI15" s="151"/>
      <c r="AJ15" s="2" t="s">
        <v>244</v>
      </c>
      <c r="AK15" s="2" t="s">
        <v>244</v>
      </c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X15" s="224"/>
      <c r="AY15" s="151"/>
      <c r="AZ15" s="2"/>
      <c r="BA15" s="2" t="s">
        <v>1168</v>
      </c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N15" s="195"/>
      <c r="BO15" s="151"/>
      <c r="BP15" s="2" t="s">
        <v>459</v>
      </c>
      <c r="BQ15" s="2" t="s">
        <v>459</v>
      </c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K15" s="22"/>
      <c r="CL15" s="1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DE15" s="150"/>
      <c r="DF15" s="150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  <c r="EI15" s="211"/>
      <c r="EJ15" s="151"/>
      <c r="EK15" s="2" t="s">
        <v>369</v>
      </c>
      <c r="EL15" s="2" t="s">
        <v>842</v>
      </c>
      <c r="EM15" s="2"/>
      <c r="EN15" s="2"/>
      <c r="EO15" s="2"/>
      <c r="EP15" s="2"/>
      <c r="EQ15" s="2"/>
      <c r="ER15" s="2"/>
      <c r="ES15" s="2"/>
      <c r="ET15" s="2"/>
      <c r="EU15" s="2"/>
      <c r="EV15" s="2"/>
      <c r="EW15" s="2"/>
      <c r="FC15" s="150"/>
      <c r="FD15" s="150"/>
      <c r="FE15" s="2"/>
      <c r="FF15" s="2"/>
      <c r="FG15" s="2"/>
      <c r="FH15" s="2"/>
      <c r="FI15" s="2"/>
      <c r="FJ15" s="2"/>
      <c r="FK15" s="2"/>
      <c r="FL15" s="2"/>
      <c r="FM15" s="2"/>
      <c r="FN15" s="2"/>
      <c r="FO15" s="2"/>
      <c r="FP15" s="2"/>
      <c r="FQ15" s="2"/>
    </row>
    <row r="16" spans="2:173" x14ac:dyDescent="0.25">
      <c r="B16" s="192" t="s">
        <v>454</v>
      </c>
      <c r="C16" s="150"/>
      <c r="D16" s="47"/>
      <c r="E16" s="2">
        <v>1500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R16" s="192" t="s">
        <v>453</v>
      </c>
      <c r="S16" s="150" t="s">
        <v>1014</v>
      </c>
      <c r="T16" s="2">
        <v>250</v>
      </c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H16" s="223" t="s">
        <v>370</v>
      </c>
      <c r="AI16" s="150" t="s">
        <v>371</v>
      </c>
      <c r="AJ16" s="2">
        <v>250</v>
      </c>
      <c r="AK16" s="2">
        <v>1500</v>
      </c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X16" s="223"/>
      <c r="AY16" s="150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N16" s="194" t="s">
        <v>463</v>
      </c>
      <c r="BO16" s="150" t="s">
        <v>1015</v>
      </c>
      <c r="BP16" s="2">
        <v>250</v>
      </c>
      <c r="BQ16" s="2">
        <v>1500</v>
      </c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K16" s="23"/>
      <c r="CL16" s="13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DE16" s="151"/>
      <c r="DF16" s="151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  <c r="EI16" s="210" t="s">
        <v>449</v>
      </c>
      <c r="EJ16" s="150" t="s">
        <v>450</v>
      </c>
      <c r="EK16" s="2">
        <v>250</v>
      </c>
      <c r="EL16" s="2">
        <v>1500</v>
      </c>
      <c r="EM16" s="2"/>
      <c r="EN16" s="2"/>
      <c r="EO16" s="2"/>
      <c r="EP16" s="2"/>
      <c r="EQ16" s="2"/>
      <c r="ER16" s="2"/>
      <c r="ES16" s="2"/>
      <c r="ET16" s="2"/>
      <c r="EU16" s="2"/>
      <c r="EV16" s="2"/>
      <c r="EW16" s="2"/>
      <c r="FC16" s="151"/>
      <c r="FD16" s="151"/>
      <c r="FE16" s="2"/>
      <c r="FF16" s="2"/>
      <c r="FG16" s="2"/>
      <c r="FH16" s="2"/>
      <c r="FI16" s="2"/>
      <c r="FJ16" s="2"/>
      <c r="FK16" s="2"/>
      <c r="FL16" s="2"/>
      <c r="FM16" s="2"/>
      <c r="FN16" s="2"/>
      <c r="FO16" s="2"/>
      <c r="FP16" s="2"/>
      <c r="FQ16" s="2"/>
    </row>
    <row r="17" spans="2:173" x14ac:dyDescent="0.25">
      <c r="B17" s="193"/>
      <c r="C17" s="151"/>
      <c r="D17" s="47"/>
      <c r="E17" s="2" t="s">
        <v>457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R17" s="193"/>
      <c r="S17" s="151"/>
      <c r="T17" s="2" t="s">
        <v>456</v>
      </c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H17" s="224"/>
      <c r="AI17" s="151"/>
      <c r="AJ17" s="2" t="s">
        <v>372</v>
      </c>
      <c r="AK17" s="2" t="s">
        <v>372</v>
      </c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X17" s="224"/>
      <c r="AY17" s="151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N17" s="195"/>
      <c r="BO17" s="151"/>
      <c r="BP17" s="2" t="s">
        <v>462</v>
      </c>
      <c r="BQ17" s="2" t="s">
        <v>462</v>
      </c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K17" s="22"/>
      <c r="CL17" s="1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DE17" s="150"/>
      <c r="DF17" s="150"/>
      <c r="DG17" s="2"/>
      <c r="DH17" s="2"/>
      <c r="DI17" s="2"/>
      <c r="DJ17" s="2"/>
      <c r="DK17" s="2"/>
      <c r="DL17" s="2"/>
      <c r="DM17" s="2"/>
      <c r="DN17" s="2"/>
      <c r="DO17" s="2"/>
      <c r="DP17" s="2"/>
      <c r="DQ17" s="2"/>
      <c r="DR17" s="2"/>
      <c r="DS17" s="2"/>
      <c r="EI17" s="211"/>
      <c r="EJ17" s="151"/>
      <c r="EK17" s="2" t="s">
        <v>451</v>
      </c>
      <c r="EL17" s="2" t="s">
        <v>451</v>
      </c>
      <c r="EM17" s="2"/>
      <c r="EN17" s="2"/>
      <c r="EO17" s="2"/>
      <c r="EP17" s="2"/>
      <c r="EQ17" s="2"/>
      <c r="ER17" s="2"/>
      <c r="ES17" s="2"/>
      <c r="ET17" s="2"/>
      <c r="EU17" s="2"/>
      <c r="EV17" s="2"/>
      <c r="EW17" s="2"/>
      <c r="FC17" s="150"/>
      <c r="FD17" s="150"/>
      <c r="FE17" s="2"/>
      <c r="FF17" s="2"/>
      <c r="FG17" s="2"/>
      <c r="FH17" s="2"/>
      <c r="FI17" s="2"/>
      <c r="FJ17" s="2"/>
      <c r="FK17" s="2"/>
      <c r="FL17" s="2"/>
      <c r="FM17" s="2"/>
      <c r="FN17" s="2"/>
      <c r="FO17" s="2"/>
      <c r="FP17" s="2"/>
      <c r="FQ17" s="2"/>
    </row>
    <row r="18" spans="2:173" x14ac:dyDescent="0.25">
      <c r="B18" s="192" t="s">
        <v>466</v>
      </c>
      <c r="C18" s="150"/>
      <c r="D18" s="32">
        <v>250</v>
      </c>
      <c r="E18" s="2">
        <v>1500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R18" s="192" t="s">
        <v>458</v>
      </c>
      <c r="S18" s="150" t="s">
        <v>1012</v>
      </c>
      <c r="T18" s="2">
        <v>250</v>
      </c>
      <c r="U18" s="2">
        <v>1500</v>
      </c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H18" s="223" t="s">
        <v>514</v>
      </c>
      <c r="AI18" s="150" t="s">
        <v>452</v>
      </c>
      <c r="AJ18" s="2">
        <v>250</v>
      </c>
      <c r="AK18" s="2">
        <v>1500</v>
      </c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X18" s="223"/>
      <c r="AY18" s="150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N18" s="194" t="s">
        <v>464</v>
      </c>
      <c r="BO18" s="150" t="s">
        <v>1016</v>
      </c>
      <c r="BP18" s="2">
        <v>250</v>
      </c>
      <c r="BQ18" s="2">
        <v>1500</v>
      </c>
      <c r="BR18" s="2">
        <v>1500</v>
      </c>
      <c r="BS18" s="2"/>
      <c r="BT18" s="2"/>
      <c r="BU18" s="2"/>
      <c r="BV18" s="2"/>
      <c r="BW18" s="2"/>
      <c r="BX18" s="2"/>
      <c r="BY18" s="2"/>
      <c r="BZ18" s="2"/>
      <c r="CA18" s="2"/>
      <c r="CB18" s="2"/>
      <c r="CK18" s="23"/>
      <c r="CL18" s="13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DE18" s="151"/>
      <c r="DF18" s="151"/>
      <c r="DG18" s="2"/>
      <c r="DH18" s="2"/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/>
      <c r="EI18" s="210" t="s">
        <v>458</v>
      </c>
      <c r="EJ18" s="150" t="s">
        <v>1012</v>
      </c>
      <c r="EK18" s="47"/>
      <c r="EL18" s="2">
        <v>1500</v>
      </c>
      <c r="EM18" s="2"/>
      <c r="EN18" s="2"/>
      <c r="EO18" s="2"/>
      <c r="EP18" s="2"/>
      <c r="EQ18" s="2"/>
      <c r="ER18" s="2"/>
      <c r="ES18" s="2"/>
      <c r="ET18" s="2"/>
      <c r="EU18" s="2"/>
      <c r="EV18" s="2"/>
      <c r="EW18" s="2"/>
      <c r="FC18" s="151"/>
      <c r="FD18" s="151"/>
      <c r="FE18" s="2"/>
      <c r="FF18" s="2"/>
      <c r="FG18" s="2"/>
      <c r="FH18" s="2"/>
      <c r="FI18" s="2"/>
      <c r="FJ18" s="2"/>
      <c r="FK18" s="2"/>
      <c r="FL18" s="2"/>
      <c r="FM18" s="2"/>
      <c r="FN18" s="2"/>
      <c r="FO18" s="2"/>
      <c r="FP18" s="2"/>
      <c r="FQ18" s="2"/>
    </row>
    <row r="19" spans="2:173" x14ac:dyDescent="0.25">
      <c r="B19" s="193"/>
      <c r="C19" s="151"/>
      <c r="D19" s="32" t="s">
        <v>467</v>
      </c>
      <c r="E19" s="32" t="s">
        <v>837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R19" s="193"/>
      <c r="S19" s="151"/>
      <c r="T19" s="2" t="s">
        <v>456</v>
      </c>
      <c r="U19" s="2" t="s">
        <v>456</v>
      </c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H19" s="224"/>
      <c r="AI19" s="151"/>
      <c r="AJ19" s="2" t="s">
        <v>451</v>
      </c>
      <c r="AK19" s="2" t="s">
        <v>451</v>
      </c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X19" s="224"/>
      <c r="AY19" s="151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N19" s="195"/>
      <c r="BO19" s="151"/>
      <c r="BP19" s="2" t="s">
        <v>465</v>
      </c>
      <c r="BQ19" s="2" t="s">
        <v>465</v>
      </c>
      <c r="BR19" s="2" t="s">
        <v>465</v>
      </c>
      <c r="BS19" s="2"/>
      <c r="BT19" s="2"/>
      <c r="BU19" s="2"/>
      <c r="BV19" s="2"/>
      <c r="BW19" s="2"/>
      <c r="BX19" s="2"/>
      <c r="BY19" s="2"/>
      <c r="BZ19" s="2"/>
      <c r="CA19" s="2"/>
      <c r="CB19" s="2"/>
      <c r="CK19" s="22"/>
      <c r="CL19" s="1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DE19" s="150"/>
      <c r="DF19" s="150"/>
      <c r="DG19" s="2"/>
      <c r="DH19" s="2"/>
      <c r="DI19" s="2"/>
      <c r="DJ19" s="2"/>
      <c r="DK19" s="2"/>
      <c r="DL19" s="2"/>
      <c r="DM19" s="2"/>
      <c r="DN19" s="2"/>
      <c r="DO19" s="2"/>
      <c r="DP19" s="2"/>
      <c r="DQ19" s="2"/>
      <c r="DR19" s="2"/>
      <c r="DS19" s="2"/>
      <c r="EI19" s="211"/>
      <c r="EJ19" s="151"/>
      <c r="EK19" s="47"/>
      <c r="EL19" s="2" t="s">
        <v>461</v>
      </c>
      <c r="EM19" s="2"/>
      <c r="EN19" s="2"/>
      <c r="EO19" s="2"/>
      <c r="EP19" s="2"/>
      <c r="EQ19" s="2"/>
      <c r="ER19" s="2"/>
      <c r="ES19" s="2"/>
      <c r="ET19" s="2"/>
      <c r="EU19" s="2"/>
      <c r="EV19" s="2"/>
      <c r="EW19" s="2"/>
      <c r="FC19" s="150"/>
      <c r="FD19" s="150"/>
      <c r="FE19" s="2"/>
      <c r="FF19" s="2"/>
      <c r="FG19" s="2"/>
      <c r="FH19" s="2"/>
      <c r="FI19" s="2"/>
      <c r="FJ19" s="2"/>
      <c r="FK19" s="2"/>
      <c r="FL19" s="2"/>
      <c r="FM19" s="2"/>
      <c r="FN19" s="2"/>
      <c r="FO19" s="2"/>
      <c r="FP19" s="2"/>
      <c r="FQ19" s="2"/>
    </row>
    <row r="20" spans="2:173" x14ac:dyDescent="0.25">
      <c r="B20" s="192" t="s">
        <v>468</v>
      </c>
      <c r="C20" s="150" t="s">
        <v>1013</v>
      </c>
      <c r="D20" s="32">
        <v>250</v>
      </c>
      <c r="E20" s="2">
        <v>1500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R20" s="192" t="s">
        <v>787</v>
      </c>
      <c r="S20" s="150"/>
      <c r="T20" s="2">
        <v>250</v>
      </c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H20" s="223" t="s">
        <v>460</v>
      </c>
      <c r="AI20" s="150"/>
      <c r="AJ20" s="2">
        <v>250</v>
      </c>
      <c r="AK20" s="2">
        <v>1500</v>
      </c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X20" s="223"/>
      <c r="AY20" s="150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N20" s="194" t="s">
        <v>468</v>
      </c>
      <c r="BO20" s="150" t="s">
        <v>1013</v>
      </c>
      <c r="BP20" s="2">
        <v>250</v>
      </c>
      <c r="BQ20" s="2">
        <v>1500</v>
      </c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K20" s="23"/>
      <c r="CL20" s="13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DE20" s="151"/>
      <c r="DF20" s="151"/>
      <c r="DG20" s="2"/>
      <c r="DH20" s="2"/>
      <c r="DI20" s="2"/>
      <c r="DJ20" s="2"/>
      <c r="DK20" s="2"/>
      <c r="DL20" s="2"/>
      <c r="DM20" s="2"/>
      <c r="DN20" s="2"/>
      <c r="DO20" s="2"/>
      <c r="DP20" s="2"/>
      <c r="DQ20" s="2"/>
      <c r="DR20" s="2"/>
      <c r="DS20" s="2"/>
      <c r="EI20" s="210" t="s">
        <v>748</v>
      </c>
      <c r="EJ20" s="150" t="s">
        <v>749</v>
      </c>
      <c r="EK20" s="2">
        <v>250</v>
      </c>
      <c r="EL20" s="2">
        <v>1500</v>
      </c>
      <c r="EM20" s="2"/>
      <c r="EN20" s="2"/>
      <c r="EO20" s="2"/>
      <c r="EP20" s="2"/>
      <c r="EQ20" s="2"/>
      <c r="ER20" s="2"/>
      <c r="ES20" s="2"/>
      <c r="ET20" s="2"/>
      <c r="EU20" s="2"/>
      <c r="EV20" s="2"/>
      <c r="EW20" s="2"/>
      <c r="FC20" s="151"/>
      <c r="FD20" s="151"/>
      <c r="FE20" s="2"/>
      <c r="FF20" s="2"/>
      <c r="FG20" s="2"/>
      <c r="FH20" s="2"/>
      <c r="FI20" s="2"/>
      <c r="FJ20" s="2"/>
      <c r="FK20" s="2"/>
      <c r="FL20" s="2"/>
      <c r="FM20" s="2"/>
      <c r="FN20" s="2"/>
      <c r="FO20" s="2"/>
      <c r="FP20" s="2"/>
      <c r="FQ20" s="2"/>
    </row>
    <row r="21" spans="2:173" x14ac:dyDescent="0.25">
      <c r="B21" s="193"/>
      <c r="C21" s="151"/>
      <c r="D21" s="32" t="s">
        <v>469</v>
      </c>
      <c r="E21" s="32" t="s">
        <v>469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R21" s="193"/>
      <c r="S21" s="151"/>
      <c r="T21" s="2" t="s">
        <v>788</v>
      </c>
      <c r="U21" s="2" t="s">
        <v>788</v>
      </c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H21" s="224"/>
      <c r="AI21" s="151"/>
      <c r="AJ21" s="2" t="s">
        <v>459</v>
      </c>
      <c r="AK21" s="2" t="s">
        <v>459</v>
      </c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X21" s="224"/>
      <c r="AY21" s="151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N21" s="195"/>
      <c r="BO21" s="151"/>
      <c r="BP21" s="2" t="s">
        <v>470</v>
      </c>
      <c r="BQ21" s="2" t="s">
        <v>470</v>
      </c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K21" s="22"/>
      <c r="CL21" s="1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DE21" s="150"/>
      <c r="DF21" s="150"/>
      <c r="DG21" s="2"/>
      <c r="DH21" s="2"/>
      <c r="DI21" s="2"/>
      <c r="DJ21" s="2"/>
      <c r="DK21" s="2"/>
      <c r="DL21" s="2"/>
      <c r="DM21" s="2"/>
      <c r="DN21" s="2"/>
      <c r="DO21" s="2"/>
      <c r="DP21" s="2"/>
      <c r="DQ21" s="2"/>
      <c r="DR21" s="2"/>
      <c r="DS21" s="2"/>
      <c r="EI21" s="211"/>
      <c r="EJ21" s="151"/>
      <c r="EK21" s="2" t="s">
        <v>750</v>
      </c>
      <c r="EL21" s="2" t="s">
        <v>750</v>
      </c>
      <c r="EM21" s="2"/>
      <c r="EN21" s="2"/>
      <c r="EO21" s="2"/>
      <c r="EP21" s="2"/>
      <c r="EQ21" s="2"/>
      <c r="ER21" s="2"/>
      <c r="ES21" s="2"/>
      <c r="ET21" s="2"/>
      <c r="EU21" s="2"/>
      <c r="EV21" s="2"/>
      <c r="EW21" s="2"/>
      <c r="FC21" s="150"/>
      <c r="FD21" s="150"/>
      <c r="FE21" s="2"/>
      <c r="FF21" s="2"/>
      <c r="FG21" s="2"/>
      <c r="FH21" s="2"/>
      <c r="FI21" s="2"/>
      <c r="FJ21" s="2"/>
      <c r="FK21" s="2"/>
      <c r="FL21" s="2"/>
      <c r="FM21" s="2"/>
      <c r="FN21" s="2"/>
      <c r="FO21" s="2"/>
      <c r="FP21" s="2"/>
      <c r="FQ21" s="2"/>
    </row>
    <row r="22" spans="2:173" x14ac:dyDescent="0.25">
      <c r="B22" s="192" t="s">
        <v>683</v>
      </c>
      <c r="C22" s="150" t="s">
        <v>684</v>
      </c>
      <c r="D22" s="32">
        <v>250</v>
      </c>
      <c r="E22" s="2">
        <v>1500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R22" s="192" t="s">
        <v>732</v>
      </c>
      <c r="S22" s="150" t="s">
        <v>733</v>
      </c>
      <c r="T22" s="2">
        <v>250</v>
      </c>
      <c r="U22" s="2">
        <v>1500</v>
      </c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H22" s="223" t="s">
        <v>468</v>
      </c>
      <c r="AI22" s="150"/>
      <c r="AJ22" s="2">
        <v>250</v>
      </c>
      <c r="AK22" s="2">
        <v>1500</v>
      </c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X22" s="223"/>
      <c r="AY22" s="150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N22" s="194" t="s">
        <v>616</v>
      </c>
      <c r="BO22" s="150"/>
      <c r="BP22" s="2">
        <v>250</v>
      </c>
      <c r="BQ22" s="2">
        <v>1500</v>
      </c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K22" s="23"/>
      <c r="CL22" s="13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DE22" s="151"/>
      <c r="DF22" s="151"/>
      <c r="DG22" s="2"/>
      <c r="DH22" s="2"/>
      <c r="DI22" s="2"/>
      <c r="DJ22" s="2"/>
      <c r="DK22" s="2"/>
      <c r="DL22" s="2"/>
      <c r="DM22" s="2"/>
      <c r="DN22" s="2"/>
      <c r="DO22" s="2"/>
      <c r="DP22" s="2"/>
      <c r="DQ22" s="2"/>
      <c r="DR22" s="2"/>
      <c r="DS22" s="2"/>
      <c r="EI22" s="210" t="s">
        <v>64</v>
      </c>
      <c r="EJ22" s="150"/>
      <c r="EK22" s="2">
        <v>250</v>
      </c>
      <c r="EL22" s="2">
        <v>1500</v>
      </c>
      <c r="EM22" s="2"/>
      <c r="EN22" s="2"/>
      <c r="EO22" s="2"/>
      <c r="EP22" s="2"/>
      <c r="EQ22" s="2"/>
      <c r="ER22" s="2"/>
      <c r="ES22" s="2"/>
      <c r="ET22" s="2"/>
      <c r="EU22" s="2"/>
      <c r="EV22" s="2"/>
      <c r="EW22" s="2"/>
      <c r="FC22" s="151"/>
      <c r="FD22" s="151"/>
      <c r="FE22" s="2"/>
      <c r="FF22" s="2"/>
      <c r="FG22" s="2"/>
      <c r="FH22" s="2"/>
      <c r="FI22" s="2"/>
      <c r="FJ22" s="2"/>
      <c r="FK22" s="2"/>
      <c r="FL22" s="2"/>
      <c r="FM22" s="2"/>
      <c r="FN22" s="2"/>
      <c r="FO22" s="2"/>
      <c r="FP22" s="2"/>
      <c r="FQ22" s="2"/>
    </row>
    <row r="23" spans="2:173" x14ac:dyDescent="0.25">
      <c r="B23" s="193"/>
      <c r="C23" s="151"/>
      <c r="D23" s="32" t="s">
        <v>685</v>
      </c>
      <c r="E23" s="32" t="s">
        <v>685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R23" s="193"/>
      <c r="S23" s="151"/>
      <c r="T23" s="2" t="s">
        <v>734</v>
      </c>
      <c r="U23" s="2" t="s">
        <v>734</v>
      </c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H23" s="224"/>
      <c r="AI23" s="151"/>
      <c r="AJ23" s="2" t="s">
        <v>470</v>
      </c>
      <c r="AK23" s="2" t="s">
        <v>470</v>
      </c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X23" s="224"/>
      <c r="AY23" s="151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N23" s="195"/>
      <c r="BO23" s="151"/>
      <c r="BP23" s="2" t="s">
        <v>617</v>
      </c>
      <c r="BQ23" s="2" t="s">
        <v>617</v>
      </c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K23" s="22"/>
      <c r="CL23" s="1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DE23" s="150"/>
      <c r="DF23" s="150"/>
      <c r="DG23" s="2"/>
      <c r="DH23" s="2"/>
      <c r="DI23" s="2"/>
      <c r="DJ23" s="2"/>
      <c r="DK23" s="2"/>
      <c r="DL23" s="2"/>
      <c r="DM23" s="2"/>
      <c r="DN23" s="2"/>
      <c r="DO23" s="2"/>
      <c r="DP23" s="2"/>
      <c r="DQ23" s="2"/>
      <c r="DR23" s="2"/>
      <c r="DS23" s="2"/>
      <c r="EI23" s="211"/>
      <c r="EJ23" s="151"/>
      <c r="EK23" s="2" t="s">
        <v>794</v>
      </c>
      <c r="EL23" s="2" t="s">
        <v>794</v>
      </c>
      <c r="EM23" s="2"/>
      <c r="EN23" s="2"/>
      <c r="EO23" s="2"/>
      <c r="EP23" s="2"/>
      <c r="EQ23" s="2"/>
      <c r="ER23" s="2"/>
      <c r="ES23" s="2"/>
      <c r="ET23" s="2"/>
      <c r="EU23" s="2"/>
      <c r="EV23" s="2"/>
      <c r="EW23" s="2"/>
      <c r="FC23" s="150"/>
      <c r="FD23" s="150"/>
      <c r="FE23" s="2"/>
      <c r="FF23" s="2"/>
      <c r="FG23" s="2"/>
      <c r="FH23" s="2"/>
      <c r="FI23" s="2"/>
      <c r="FJ23" s="2"/>
      <c r="FK23" s="2"/>
      <c r="FL23" s="2"/>
      <c r="FM23" s="2"/>
      <c r="FN23" s="2"/>
      <c r="FO23" s="2"/>
      <c r="FP23" s="2"/>
      <c r="FQ23" s="2"/>
    </row>
    <row r="24" spans="2:173" x14ac:dyDescent="0.25">
      <c r="B24" s="192" t="s">
        <v>706</v>
      </c>
      <c r="C24" s="150" t="s">
        <v>707</v>
      </c>
      <c r="D24" s="2">
        <v>250</v>
      </c>
      <c r="E24" s="2">
        <v>1500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R24" s="192" t="s">
        <v>785</v>
      </c>
      <c r="S24" s="150"/>
      <c r="T24" s="2">
        <v>250</v>
      </c>
      <c r="U24" s="2">
        <v>1500</v>
      </c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H24" s="223" t="s">
        <v>440</v>
      </c>
      <c r="AI24" s="150" t="s">
        <v>442</v>
      </c>
      <c r="AJ24" s="2">
        <v>250</v>
      </c>
      <c r="AK24" s="2">
        <v>1500</v>
      </c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X24" s="223"/>
      <c r="AY24" s="150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N24" s="194" t="s">
        <v>704</v>
      </c>
      <c r="BO24" s="150" t="s">
        <v>705</v>
      </c>
      <c r="BP24" s="2">
        <v>250</v>
      </c>
      <c r="BQ24" s="93">
        <v>0</v>
      </c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K24" s="23"/>
      <c r="CL24" s="13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DE24" s="151"/>
      <c r="DF24" s="151"/>
      <c r="DG24" s="2"/>
      <c r="DH24" s="2"/>
      <c r="DI24" s="2"/>
      <c r="DJ24" s="2"/>
      <c r="DK24" s="2"/>
      <c r="DL24" s="2"/>
      <c r="DM24" s="2"/>
      <c r="DN24" s="2"/>
      <c r="DO24" s="2"/>
      <c r="DP24" s="2"/>
      <c r="DQ24" s="2"/>
      <c r="DR24" s="2"/>
      <c r="DS24" s="2"/>
      <c r="EI24" s="210" t="s">
        <v>838</v>
      </c>
      <c r="EJ24" s="150"/>
      <c r="EK24" s="2">
        <v>250</v>
      </c>
      <c r="EL24" s="2">
        <v>1500</v>
      </c>
      <c r="EM24" s="2"/>
      <c r="EN24" s="2"/>
      <c r="EO24" s="2"/>
      <c r="EP24" s="2"/>
      <c r="EQ24" s="2"/>
      <c r="ER24" s="2"/>
      <c r="ES24" s="2"/>
      <c r="ET24" s="2"/>
      <c r="EU24" s="2"/>
      <c r="EV24" s="2"/>
      <c r="EW24" s="2"/>
      <c r="FC24" s="151"/>
      <c r="FD24" s="151"/>
      <c r="FE24" s="2"/>
      <c r="FF24" s="2"/>
      <c r="FG24" s="2"/>
      <c r="FH24" s="2"/>
      <c r="FI24" s="2"/>
      <c r="FJ24" s="2"/>
      <c r="FK24" s="2"/>
      <c r="FL24" s="2"/>
      <c r="FM24" s="2"/>
      <c r="FN24" s="2"/>
      <c r="FO24" s="2"/>
      <c r="FP24" s="2"/>
      <c r="FQ24" s="2"/>
    </row>
    <row r="25" spans="2:173" x14ac:dyDescent="0.25">
      <c r="B25" s="193"/>
      <c r="C25" s="151"/>
      <c r="D25" s="2" t="s">
        <v>735</v>
      </c>
      <c r="E25" s="2" t="s">
        <v>709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R25" s="193"/>
      <c r="S25" s="151"/>
      <c r="T25" s="2" t="s">
        <v>786</v>
      </c>
      <c r="U25" s="2" t="s">
        <v>786</v>
      </c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H25" s="224"/>
      <c r="AI25" s="151"/>
      <c r="AJ25" s="2" t="s">
        <v>441</v>
      </c>
      <c r="AK25" s="2" t="s">
        <v>441</v>
      </c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X25" s="224"/>
      <c r="AY25" s="151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N25" s="195"/>
      <c r="BO25" s="151"/>
      <c r="BP25" s="2" t="s">
        <v>708</v>
      </c>
      <c r="BQ25" s="93" t="s">
        <v>975</v>
      </c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K25" s="22"/>
      <c r="CL25" s="1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DE25" s="150"/>
      <c r="DF25" s="150"/>
      <c r="DG25" s="2"/>
      <c r="DH25" s="2"/>
      <c r="DI25" s="2"/>
      <c r="DJ25" s="2"/>
      <c r="DK25" s="2"/>
      <c r="DL25" s="2"/>
      <c r="DM25" s="2"/>
      <c r="DN25" s="2"/>
      <c r="DO25" s="2"/>
      <c r="DP25" s="2"/>
      <c r="DQ25" s="2"/>
      <c r="DR25" s="2"/>
      <c r="DS25" s="2"/>
      <c r="EI25" s="211"/>
      <c r="EJ25" s="151"/>
      <c r="EK25" s="2" t="s">
        <v>839</v>
      </c>
      <c r="EL25" s="2" t="s">
        <v>839</v>
      </c>
      <c r="EM25" s="2"/>
      <c r="EN25" s="2"/>
      <c r="EO25" s="2"/>
      <c r="EP25" s="2"/>
      <c r="EQ25" s="2"/>
      <c r="ER25" s="2"/>
      <c r="ES25" s="2"/>
      <c r="ET25" s="2"/>
      <c r="EU25" s="2"/>
      <c r="EV25" s="2"/>
      <c r="EW25" s="2"/>
      <c r="FC25" s="150"/>
      <c r="FD25" s="150"/>
      <c r="FE25" s="2"/>
      <c r="FF25" s="2"/>
      <c r="FG25" s="2"/>
      <c r="FH25" s="2"/>
      <c r="FI25" s="2"/>
      <c r="FJ25" s="2"/>
      <c r="FK25" s="2"/>
      <c r="FL25" s="2"/>
      <c r="FM25" s="2"/>
      <c r="FN25" s="2"/>
      <c r="FO25" s="2"/>
      <c r="FP25" s="2"/>
      <c r="FQ25" s="2"/>
    </row>
    <row r="26" spans="2:173" x14ac:dyDescent="0.25">
      <c r="B26" s="192" t="s">
        <v>1182</v>
      </c>
      <c r="C26" s="150"/>
      <c r="D26" s="2">
        <v>250</v>
      </c>
      <c r="E26" s="2">
        <v>1500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R26" s="192" t="s">
        <v>242</v>
      </c>
      <c r="S26" s="150" t="s">
        <v>200</v>
      </c>
      <c r="T26" s="2">
        <v>250</v>
      </c>
      <c r="U26" s="2">
        <v>1500</v>
      </c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H26" s="223" t="s">
        <v>785</v>
      </c>
      <c r="AI26" s="150"/>
      <c r="AJ26" s="2">
        <v>250</v>
      </c>
      <c r="AK26" s="2">
        <v>1500</v>
      </c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X26" s="223"/>
      <c r="AY26" s="150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N26" s="194" t="s">
        <v>370</v>
      </c>
      <c r="BO26" s="150" t="s">
        <v>371</v>
      </c>
      <c r="BP26" s="2">
        <v>250</v>
      </c>
      <c r="BQ26" s="2">
        <v>1500</v>
      </c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K26" s="23"/>
      <c r="CL26" s="13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DE26" s="151"/>
      <c r="DF26" s="151"/>
      <c r="DG26" s="2"/>
      <c r="DH26" s="2"/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  <c r="EI26" s="210" t="s">
        <v>938</v>
      </c>
      <c r="EJ26" s="150" t="s">
        <v>939</v>
      </c>
      <c r="EK26" s="2">
        <v>250</v>
      </c>
      <c r="EL26" s="2">
        <v>1500</v>
      </c>
      <c r="EM26" s="2"/>
      <c r="EN26" s="2"/>
      <c r="EO26" s="2"/>
      <c r="EP26" s="2"/>
      <c r="EQ26" s="2"/>
      <c r="ER26" s="2"/>
      <c r="ES26" s="2"/>
      <c r="ET26" s="2"/>
      <c r="EU26" s="2"/>
      <c r="EV26" s="2"/>
      <c r="EW26" s="2"/>
      <c r="FC26" s="151"/>
      <c r="FD26" s="151"/>
      <c r="FE26" s="2"/>
      <c r="FF26" s="2"/>
      <c r="FG26" s="2"/>
      <c r="FH26" s="2"/>
      <c r="FI26" s="2"/>
      <c r="FJ26" s="2"/>
      <c r="FK26" s="2"/>
      <c r="FL26" s="2"/>
      <c r="FM26" s="2"/>
      <c r="FN26" s="2"/>
      <c r="FO26" s="2"/>
      <c r="FP26" s="2"/>
      <c r="FQ26" s="2"/>
    </row>
    <row r="27" spans="2:173" x14ac:dyDescent="0.25">
      <c r="B27" s="193"/>
      <c r="C27" s="151"/>
      <c r="D27" s="2" t="s">
        <v>1183</v>
      </c>
      <c r="E27" s="2" t="s">
        <v>1183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R27" s="193"/>
      <c r="S27" s="151"/>
      <c r="T27" s="2" t="s">
        <v>849</v>
      </c>
      <c r="U27" s="2" t="s">
        <v>849</v>
      </c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H27" s="224"/>
      <c r="AI27" s="151"/>
      <c r="AJ27" s="2" t="s">
        <v>786</v>
      </c>
      <c r="AK27" s="2" t="s">
        <v>786</v>
      </c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X27" s="224"/>
      <c r="AY27" s="151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N27" s="195"/>
      <c r="BO27" s="151"/>
      <c r="BP27" s="2" t="s">
        <v>710</v>
      </c>
      <c r="BQ27" s="2" t="s">
        <v>711</v>
      </c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K27" s="22"/>
      <c r="CL27" s="1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DE27" s="150"/>
      <c r="DF27" s="150"/>
      <c r="DG27" s="2"/>
      <c r="DH27" s="2"/>
      <c r="DI27" s="2"/>
      <c r="DJ27" s="2"/>
      <c r="DK27" s="2"/>
      <c r="DL27" s="2"/>
      <c r="DM27" s="2"/>
      <c r="DN27" s="2"/>
      <c r="DO27" s="2"/>
      <c r="DP27" s="2"/>
      <c r="DQ27" s="2"/>
      <c r="DR27" s="2"/>
      <c r="DS27" s="2"/>
      <c r="EI27" s="211"/>
      <c r="EJ27" s="151"/>
      <c r="EK27" s="2" t="s">
        <v>940</v>
      </c>
      <c r="EL27" s="2" t="s">
        <v>940</v>
      </c>
      <c r="EM27" s="2"/>
      <c r="EN27" s="2"/>
      <c r="EO27" s="2"/>
      <c r="EP27" s="2"/>
      <c r="EQ27" s="2"/>
      <c r="ER27" s="2"/>
      <c r="ES27" s="2"/>
      <c r="ET27" s="2"/>
      <c r="EU27" s="2"/>
      <c r="EV27" s="2"/>
      <c r="EW27" s="2"/>
      <c r="FC27" s="150"/>
      <c r="FD27" s="150"/>
      <c r="FE27" s="2"/>
      <c r="FF27" s="2"/>
      <c r="FG27" s="2"/>
      <c r="FH27" s="2"/>
      <c r="FI27" s="2"/>
      <c r="FJ27" s="2"/>
      <c r="FK27" s="2"/>
      <c r="FL27" s="2"/>
      <c r="FM27" s="2"/>
      <c r="FN27" s="2"/>
      <c r="FO27" s="2"/>
      <c r="FP27" s="2"/>
      <c r="FQ27" s="2"/>
    </row>
    <row r="28" spans="2:173" x14ac:dyDescent="0.25">
      <c r="B28" s="215"/>
      <c r="C28" s="196"/>
      <c r="D28" s="3"/>
      <c r="E28" s="3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R28" s="192" t="s">
        <v>1057</v>
      </c>
      <c r="S28" s="150" t="s">
        <v>1054</v>
      </c>
      <c r="T28" s="2">
        <v>250</v>
      </c>
      <c r="U28" s="2">
        <v>1500</v>
      </c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H28" s="223" t="s">
        <v>790</v>
      </c>
      <c r="AI28" s="150" t="s">
        <v>1024</v>
      </c>
      <c r="AJ28" s="2">
        <v>250</v>
      </c>
      <c r="AK28" s="2">
        <v>1500</v>
      </c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X28" s="223"/>
      <c r="AY28" s="150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N28" s="194" t="s">
        <v>736</v>
      </c>
      <c r="BO28" s="150" t="s">
        <v>1017</v>
      </c>
      <c r="BP28" s="2">
        <v>250</v>
      </c>
      <c r="BQ28" s="2">
        <v>1500</v>
      </c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K28" s="23"/>
      <c r="CL28" s="13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DE28" s="151"/>
      <c r="DF28" s="151"/>
      <c r="DG28" s="2"/>
      <c r="DH28" s="2"/>
      <c r="DI28" s="2"/>
      <c r="DJ28" s="2"/>
      <c r="DK28" s="2"/>
      <c r="DL28" s="2"/>
      <c r="DM28" s="2"/>
      <c r="DN28" s="2"/>
      <c r="DO28" s="2"/>
      <c r="DP28" s="2"/>
      <c r="DQ28" s="2"/>
      <c r="DR28" s="2"/>
      <c r="DS28" s="2"/>
      <c r="EI28" s="210" t="s">
        <v>1149</v>
      </c>
      <c r="EJ28" s="150"/>
      <c r="EK28" s="2">
        <v>250</v>
      </c>
      <c r="EL28" s="2">
        <v>1500</v>
      </c>
      <c r="EM28" s="2"/>
      <c r="EN28" s="2"/>
      <c r="EO28" s="2"/>
      <c r="EP28" s="2"/>
      <c r="EQ28" s="2"/>
      <c r="ER28" s="2"/>
      <c r="ES28" s="2"/>
      <c r="ET28" s="2"/>
      <c r="EU28" s="2"/>
      <c r="EV28" s="2"/>
      <c r="EW28" s="2"/>
      <c r="FC28" s="151"/>
      <c r="FD28" s="151"/>
      <c r="FE28" s="2"/>
      <c r="FF28" s="2"/>
      <c r="FG28" s="2"/>
      <c r="FH28" s="2"/>
      <c r="FI28" s="2"/>
      <c r="FJ28" s="2"/>
      <c r="FK28" s="2"/>
      <c r="FL28" s="2"/>
      <c r="FM28" s="2"/>
      <c r="FN28" s="2"/>
      <c r="FO28" s="2"/>
      <c r="FP28" s="2"/>
      <c r="FQ28" s="2"/>
    </row>
    <row r="29" spans="2:173" x14ac:dyDescent="0.25">
      <c r="B29" s="216"/>
      <c r="C29" s="197"/>
      <c r="D29" s="3"/>
      <c r="E29" s="3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R29" s="193"/>
      <c r="S29" s="151"/>
      <c r="T29" s="2" t="s">
        <v>1055</v>
      </c>
      <c r="U29" s="2" t="s">
        <v>1058</v>
      </c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H29" s="224"/>
      <c r="AI29" s="151"/>
      <c r="AJ29" s="2" t="s">
        <v>791</v>
      </c>
      <c r="AK29" s="2" t="s">
        <v>791</v>
      </c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X29" s="224"/>
      <c r="AY29" s="151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N29" s="195"/>
      <c r="BO29" s="151"/>
      <c r="BP29" s="2" t="s">
        <v>746</v>
      </c>
      <c r="BQ29" s="2" t="s">
        <v>746</v>
      </c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K29" s="22"/>
      <c r="CL29" s="1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DE29" s="150"/>
      <c r="DF29" s="150"/>
      <c r="DG29" s="2"/>
      <c r="DH29" s="2"/>
      <c r="DI29" s="2"/>
      <c r="DJ29" s="2"/>
      <c r="DK29" s="2"/>
      <c r="DL29" s="2"/>
      <c r="DM29" s="2"/>
      <c r="DN29" s="2"/>
      <c r="DO29" s="2"/>
      <c r="DP29" s="2"/>
      <c r="DQ29" s="2"/>
      <c r="DR29" s="2"/>
      <c r="DS29" s="2"/>
      <c r="EI29" s="211"/>
      <c r="EJ29" s="151"/>
      <c r="EK29" s="2" t="s">
        <v>1150</v>
      </c>
      <c r="EL29" s="2" t="s">
        <v>1150</v>
      </c>
      <c r="EM29" s="2"/>
      <c r="EN29" s="2"/>
      <c r="EO29" s="2"/>
      <c r="EP29" s="2"/>
      <c r="EQ29" s="2"/>
      <c r="ER29" s="2"/>
      <c r="ES29" s="2"/>
      <c r="ET29" s="2"/>
      <c r="EU29" s="2"/>
      <c r="EV29" s="2"/>
      <c r="EW29" s="2"/>
      <c r="FC29" s="150"/>
      <c r="FD29" s="150"/>
      <c r="FE29" s="2"/>
      <c r="FF29" s="2"/>
      <c r="FG29" s="2"/>
      <c r="FH29" s="2"/>
      <c r="FI29" s="2"/>
      <c r="FJ29" s="2"/>
      <c r="FK29" s="2"/>
      <c r="FL29" s="2"/>
      <c r="FM29" s="2"/>
      <c r="FN29" s="2"/>
      <c r="FO29" s="2"/>
      <c r="FP29" s="2"/>
      <c r="FQ29" s="2"/>
    </row>
    <row r="30" spans="2:173" x14ac:dyDescent="0.25">
      <c r="B30" s="215"/>
      <c r="C30" s="196"/>
      <c r="D30" s="3"/>
      <c r="E30" s="3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R30" s="192" t="s">
        <v>1193</v>
      </c>
      <c r="S30" s="150"/>
      <c r="T30" s="2">
        <v>250</v>
      </c>
      <c r="U30" s="2">
        <v>1500</v>
      </c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H30" s="223" t="s">
        <v>1088</v>
      </c>
      <c r="AI30" s="150" t="s">
        <v>1089</v>
      </c>
      <c r="AJ30" s="2">
        <v>250</v>
      </c>
      <c r="AK30" s="2">
        <v>1500</v>
      </c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X30" s="223"/>
      <c r="AY30" s="150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N30" s="194" t="s">
        <v>737</v>
      </c>
      <c r="BO30" s="150" t="s">
        <v>738</v>
      </c>
      <c r="BP30" s="2">
        <v>250</v>
      </c>
      <c r="BQ30" s="2">
        <v>1500</v>
      </c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K30" s="23"/>
      <c r="CL30" s="13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DE30" s="151"/>
      <c r="DF30" s="151"/>
      <c r="DG30" s="2"/>
      <c r="DH30" s="2"/>
      <c r="DI30" s="2"/>
      <c r="DJ30" s="2"/>
      <c r="DK30" s="2"/>
      <c r="DL30" s="2"/>
      <c r="DM30" s="2"/>
      <c r="DN30" s="2"/>
      <c r="DO30" s="2"/>
      <c r="DP30" s="2"/>
      <c r="DQ30" s="2"/>
      <c r="DR30" s="2"/>
      <c r="DS30" s="2"/>
      <c r="EI30" s="210" t="s">
        <v>1163</v>
      </c>
      <c r="EJ30" s="150"/>
      <c r="EK30" s="2">
        <v>250</v>
      </c>
      <c r="EL30" s="2">
        <v>1500</v>
      </c>
      <c r="EM30" s="2"/>
      <c r="EN30" s="2"/>
      <c r="EO30" s="2"/>
      <c r="EP30" s="2"/>
      <c r="EQ30" s="2"/>
      <c r="ER30" s="2"/>
      <c r="ES30" s="2"/>
      <c r="ET30" s="2"/>
      <c r="EU30" s="2"/>
      <c r="EV30" s="2"/>
      <c r="EW30" s="2"/>
      <c r="FC30" s="151"/>
      <c r="FD30" s="151"/>
      <c r="FE30" s="2"/>
      <c r="FF30" s="2"/>
      <c r="FG30" s="2"/>
      <c r="FH30" s="2"/>
      <c r="FI30" s="2"/>
      <c r="FJ30" s="2"/>
      <c r="FK30" s="2"/>
      <c r="FL30" s="2"/>
      <c r="FM30" s="2"/>
      <c r="FN30" s="2"/>
      <c r="FO30" s="2"/>
      <c r="FP30" s="2"/>
      <c r="FQ30" s="2"/>
    </row>
    <row r="31" spans="2:173" x14ac:dyDescent="0.25">
      <c r="B31" s="216"/>
      <c r="C31" s="197"/>
      <c r="D31" s="3"/>
      <c r="E31" s="3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R31" s="193"/>
      <c r="S31" s="151"/>
      <c r="T31" s="97" t="s">
        <v>1250</v>
      </c>
      <c r="U31" s="2" t="s">
        <v>1194</v>
      </c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H31" s="224"/>
      <c r="AI31" s="151"/>
      <c r="AJ31" s="2" t="s">
        <v>1090</v>
      </c>
      <c r="AK31" s="2" t="s">
        <v>1090</v>
      </c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X31" s="224"/>
      <c r="AY31" s="151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N31" s="195"/>
      <c r="BO31" s="151"/>
      <c r="BP31" s="2" t="s">
        <v>747</v>
      </c>
      <c r="BQ31" s="2" t="s">
        <v>747</v>
      </c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K31" s="22"/>
      <c r="CL31" s="1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DE31" s="150"/>
      <c r="DF31" s="150"/>
      <c r="DG31" s="2"/>
      <c r="DH31" s="2"/>
      <c r="DI31" s="2"/>
      <c r="DJ31" s="2"/>
      <c r="DK31" s="2"/>
      <c r="DL31" s="2"/>
      <c r="DM31" s="2"/>
      <c r="DN31" s="2"/>
      <c r="DO31" s="2"/>
      <c r="DP31" s="2"/>
      <c r="DQ31" s="2"/>
      <c r="DR31" s="2"/>
      <c r="DS31" s="2"/>
      <c r="EI31" s="211"/>
      <c r="EJ31" s="151"/>
      <c r="EK31" s="2" t="s">
        <v>1169</v>
      </c>
      <c r="EL31" s="2" t="s">
        <v>1169</v>
      </c>
      <c r="EM31" s="2"/>
      <c r="EN31" s="2"/>
      <c r="EO31" s="2"/>
      <c r="EP31" s="2"/>
      <c r="EQ31" s="2"/>
      <c r="ER31" s="2"/>
      <c r="ES31" s="2"/>
      <c r="ET31" s="2"/>
      <c r="EU31" s="2"/>
      <c r="EV31" s="2"/>
      <c r="EW31" s="2"/>
      <c r="FC31" s="150"/>
      <c r="FD31" s="150"/>
      <c r="FE31" s="2"/>
      <c r="FF31" s="2"/>
      <c r="FG31" s="2"/>
      <c r="FH31" s="2"/>
      <c r="FI31" s="2"/>
      <c r="FJ31" s="2"/>
      <c r="FK31" s="2"/>
      <c r="FL31" s="2"/>
      <c r="FM31" s="2"/>
      <c r="FN31" s="2"/>
      <c r="FO31" s="2"/>
      <c r="FP31" s="2"/>
      <c r="FQ31" s="2"/>
    </row>
    <row r="32" spans="2:173" x14ac:dyDescent="0.25">
      <c r="B32" s="192"/>
      <c r="C32" s="150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R32" s="192" t="s">
        <v>1332</v>
      </c>
      <c r="S32" s="150"/>
      <c r="T32" s="2">
        <v>250</v>
      </c>
      <c r="U32" s="2">
        <v>1500</v>
      </c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H32" s="223" t="s">
        <v>1151</v>
      </c>
      <c r="AI32" s="150"/>
      <c r="AJ32" s="2">
        <v>250</v>
      </c>
      <c r="AK32" s="2">
        <v>1500</v>
      </c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X32" s="223"/>
      <c r="AY32" s="150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N32" s="194" t="s">
        <v>739</v>
      </c>
      <c r="BO32" s="150" t="s">
        <v>740</v>
      </c>
      <c r="BP32" s="2">
        <v>250</v>
      </c>
      <c r="BQ32" s="2">
        <v>1500</v>
      </c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K32" s="23"/>
      <c r="CL32" s="13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DE32" s="151"/>
      <c r="DF32" s="151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  <c r="EI32" s="210" t="s">
        <v>790</v>
      </c>
      <c r="EJ32" s="150"/>
      <c r="EK32" s="2">
        <v>250</v>
      </c>
      <c r="EL32" s="2">
        <v>1500</v>
      </c>
      <c r="EM32" s="2"/>
      <c r="EN32" s="2"/>
      <c r="EO32" s="2"/>
      <c r="EP32" s="2"/>
      <c r="EQ32" s="2"/>
      <c r="ER32" s="2"/>
      <c r="ES32" s="2"/>
      <c r="ET32" s="2"/>
      <c r="EU32" s="2"/>
      <c r="EV32" s="2"/>
      <c r="EW32" s="2"/>
      <c r="FC32" s="151"/>
      <c r="FD32" s="151"/>
      <c r="FE32" s="2"/>
      <c r="FF32" s="2"/>
      <c r="FG32" s="2"/>
      <c r="FH32" s="2"/>
      <c r="FI32" s="2"/>
      <c r="FJ32" s="2"/>
      <c r="FK32" s="2"/>
      <c r="FL32" s="2"/>
      <c r="FM32" s="2"/>
      <c r="FN32" s="2"/>
      <c r="FO32" s="2"/>
      <c r="FP32" s="2"/>
      <c r="FQ32" s="2"/>
    </row>
    <row r="33" spans="2:173" x14ac:dyDescent="0.25">
      <c r="B33" s="193"/>
      <c r="C33" s="151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R33" s="193"/>
      <c r="S33" s="151"/>
      <c r="T33" s="2" t="s">
        <v>1333</v>
      </c>
      <c r="U33" s="2" t="s">
        <v>1333</v>
      </c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H33" s="224"/>
      <c r="AI33" s="151"/>
      <c r="AJ33" s="2" t="s">
        <v>1152</v>
      </c>
      <c r="AK33" s="2" t="s">
        <v>1152</v>
      </c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X33" s="224"/>
      <c r="AY33" s="151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N33" s="195"/>
      <c r="BO33" s="151"/>
      <c r="BP33" s="2" t="s">
        <v>745</v>
      </c>
      <c r="BQ33" s="2" t="s">
        <v>745</v>
      </c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K33" s="213"/>
      <c r="CL33" s="150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EI33" s="211"/>
      <c r="EJ33" s="151"/>
      <c r="EK33" s="2" t="s">
        <v>1170</v>
      </c>
      <c r="EL33" s="2" t="s">
        <v>1170</v>
      </c>
      <c r="EM33" s="2"/>
      <c r="EN33" s="2"/>
      <c r="EO33" s="2"/>
      <c r="EP33" s="2"/>
      <c r="EQ33" s="2"/>
      <c r="ER33" s="2"/>
      <c r="ES33" s="2"/>
      <c r="ET33" s="2"/>
      <c r="EU33" s="2"/>
      <c r="EV33" s="2"/>
      <c r="EW33" s="2"/>
      <c r="FC33" s="150"/>
      <c r="FD33" s="150"/>
      <c r="FE33" s="2"/>
      <c r="FF33" s="2"/>
      <c r="FG33" s="2"/>
      <c r="FH33" s="2"/>
      <c r="FI33" s="2"/>
      <c r="FJ33" s="2"/>
      <c r="FK33" s="2"/>
      <c r="FL33" s="2"/>
      <c r="FM33" s="2"/>
      <c r="FN33" s="2"/>
      <c r="FO33" s="2"/>
      <c r="FP33" s="2"/>
      <c r="FQ33" s="2"/>
    </row>
    <row r="34" spans="2:173" x14ac:dyDescent="0.25">
      <c r="B34" s="192"/>
      <c r="C34" s="150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R34" s="192" t="s">
        <v>440</v>
      </c>
      <c r="S34" s="150"/>
      <c r="T34" s="2">
        <v>250</v>
      </c>
      <c r="U34" s="2">
        <v>1500</v>
      </c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H34" s="223" t="s">
        <v>1153</v>
      </c>
      <c r="AI34" s="150"/>
      <c r="AJ34" s="2">
        <v>250</v>
      </c>
      <c r="AK34" s="2">
        <v>1500</v>
      </c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X34" s="223"/>
      <c r="AY34" s="150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N34" s="194" t="s">
        <v>785</v>
      </c>
      <c r="BO34" s="150"/>
      <c r="BP34" s="2">
        <v>250</v>
      </c>
      <c r="BQ34" s="2">
        <v>1500</v>
      </c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K34" s="214"/>
      <c r="CL34" s="151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EI34" s="210" t="s">
        <v>1171</v>
      </c>
      <c r="EJ34" s="150"/>
      <c r="EK34" s="2">
        <v>250</v>
      </c>
      <c r="EL34" s="2">
        <v>1500</v>
      </c>
      <c r="EM34" s="2"/>
      <c r="EN34" s="2"/>
      <c r="EO34" s="2"/>
      <c r="EP34" s="2"/>
      <c r="EQ34" s="2"/>
      <c r="ER34" s="2"/>
      <c r="ES34" s="2"/>
      <c r="ET34" s="2"/>
      <c r="EU34" s="2"/>
      <c r="EV34" s="2"/>
      <c r="EW34" s="2"/>
      <c r="FC34" s="151"/>
      <c r="FD34" s="151"/>
      <c r="FE34" s="2"/>
      <c r="FF34" s="2"/>
      <c r="FG34" s="2"/>
      <c r="FH34" s="2"/>
      <c r="FI34" s="2"/>
      <c r="FJ34" s="2"/>
      <c r="FK34" s="2"/>
      <c r="FL34" s="2"/>
      <c r="FM34" s="2"/>
      <c r="FN34" s="2"/>
      <c r="FO34" s="2"/>
      <c r="FP34" s="2"/>
      <c r="FQ34" s="2"/>
    </row>
    <row r="35" spans="2:173" x14ac:dyDescent="0.25">
      <c r="B35" s="193"/>
      <c r="C35" s="151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R35" s="193"/>
      <c r="S35" s="151"/>
      <c r="T35" s="2" t="s">
        <v>1340</v>
      </c>
      <c r="U35" s="2" t="s">
        <v>1340</v>
      </c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H35" s="224"/>
      <c r="AI35" s="151"/>
      <c r="AJ35" s="2" t="s">
        <v>1154</v>
      </c>
      <c r="AK35" s="2" t="s">
        <v>1154</v>
      </c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X35" s="224"/>
      <c r="AY35" s="151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N35" s="195"/>
      <c r="BO35" s="151"/>
      <c r="BP35" s="2" t="s">
        <v>786</v>
      </c>
      <c r="BQ35" s="2" t="s">
        <v>786</v>
      </c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EI35" s="211"/>
      <c r="EJ35" s="151"/>
      <c r="EK35" s="2" t="s">
        <v>1170</v>
      </c>
      <c r="EL35" s="2" t="s">
        <v>1170</v>
      </c>
      <c r="EM35" s="2"/>
      <c r="EN35" s="2"/>
      <c r="EO35" s="2"/>
      <c r="EP35" s="2"/>
      <c r="EQ35" s="2"/>
      <c r="ER35" s="2"/>
      <c r="ES35" s="2"/>
      <c r="ET35" s="2"/>
      <c r="EU35" s="2"/>
      <c r="EV35" s="2"/>
      <c r="EW35" s="2"/>
    </row>
    <row r="36" spans="2:173" x14ac:dyDescent="0.25">
      <c r="R36" s="192"/>
      <c r="S36" s="150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H36" s="223" t="s">
        <v>1155</v>
      </c>
      <c r="AI36" s="150"/>
      <c r="AJ36" s="2"/>
      <c r="AK36" s="2">
        <v>1500</v>
      </c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BN36" s="194" t="s">
        <v>743</v>
      </c>
      <c r="BO36" s="150" t="s">
        <v>742</v>
      </c>
      <c r="BP36" s="2">
        <v>250</v>
      </c>
      <c r="BQ36" s="2">
        <v>1500</v>
      </c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EI36" s="210" t="s">
        <v>1180</v>
      </c>
      <c r="EJ36" s="150"/>
      <c r="EK36" s="2">
        <v>250</v>
      </c>
      <c r="EL36" s="2">
        <v>1500</v>
      </c>
      <c r="EM36" s="2"/>
      <c r="EN36" s="2"/>
      <c r="EO36" s="2"/>
      <c r="EP36" s="2"/>
      <c r="EQ36" s="2"/>
      <c r="ER36" s="2"/>
      <c r="ES36" s="2"/>
      <c r="ET36" s="2"/>
      <c r="EU36" s="2"/>
      <c r="EV36" s="2"/>
      <c r="EW36" s="2"/>
    </row>
    <row r="37" spans="2:173" x14ac:dyDescent="0.25">
      <c r="R37" s="193"/>
      <c r="S37" s="151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H37" s="224"/>
      <c r="AI37" s="151"/>
      <c r="AJ37" s="2"/>
      <c r="AK37" s="2" t="s">
        <v>1156</v>
      </c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BN37" s="195"/>
      <c r="BO37" s="151"/>
      <c r="BP37" s="2" t="s">
        <v>744</v>
      </c>
      <c r="BQ37" s="2" t="s">
        <v>744</v>
      </c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EI37" s="211"/>
      <c r="EJ37" s="151"/>
      <c r="EK37" s="2" t="s">
        <v>1181</v>
      </c>
      <c r="EL37" s="2" t="s">
        <v>1181</v>
      </c>
      <c r="EM37" s="2"/>
      <c r="EN37" s="2"/>
      <c r="EO37" s="2"/>
      <c r="EP37" s="2"/>
      <c r="EQ37" s="2"/>
      <c r="ER37" s="2"/>
      <c r="ES37" s="2"/>
      <c r="ET37" s="2"/>
      <c r="EU37" s="2"/>
      <c r="EV37" s="2"/>
      <c r="EW37" s="2"/>
    </row>
    <row r="38" spans="2:173" x14ac:dyDescent="0.25">
      <c r="R38" s="192"/>
      <c r="S38" s="150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H38" s="223" t="s">
        <v>1157</v>
      </c>
      <c r="AI38" s="150"/>
      <c r="AJ38" s="2">
        <v>250</v>
      </c>
      <c r="AK38" s="2">
        <v>1500</v>
      </c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BN38" s="194" t="s">
        <v>851</v>
      </c>
      <c r="BO38" s="150" t="s">
        <v>852</v>
      </c>
      <c r="BP38" s="2"/>
      <c r="BQ38" s="2">
        <v>1500</v>
      </c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EI38" s="210" t="s">
        <v>1184</v>
      </c>
      <c r="EJ38" s="150"/>
      <c r="EK38" s="2">
        <v>250</v>
      </c>
      <c r="EL38" s="2">
        <v>1500</v>
      </c>
      <c r="EM38" s="2"/>
      <c r="EN38" s="2"/>
      <c r="EO38" s="2"/>
      <c r="EP38" s="2"/>
      <c r="EQ38" s="2"/>
      <c r="ER38" s="2"/>
      <c r="ES38" s="2"/>
      <c r="ET38" s="2"/>
      <c r="EU38" s="2"/>
      <c r="EV38" s="2"/>
      <c r="EW38" s="2"/>
    </row>
    <row r="39" spans="2:173" x14ac:dyDescent="0.25">
      <c r="R39" s="193"/>
      <c r="S39" s="151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H39" s="224"/>
      <c r="AI39" s="151"/>
      <c r="AJ39" s="2" t="s">
        <v>1158</v>
      </c>
      <c r="AK39" s="2" t="s">
        <v>1158</v>
      </c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BN39" s="195"/>
      <c r="BO39" s="151"/>
      <c r="BP39" s="2"/>
      <c r="BQ39" s="2" t="s">
        <v>853</v>
      </c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EI39" s="211"/>
      <c r="EJ39" s="151"/>
      <c r="EK39" s="2" t="s">
        <v>1185</v>
      </c>
      <c r="EL39" s="2" t="s">
        <v>1185</v>
      </c>
      <c r="EM39" s="2"/>
      <c r="EN39" s="2"/>
      <c r="EO39" s="2"/>
      <c r="EP39" s="2"/>
      <c r="EQ39" s="2"/>
      <c r="ER39" s="2"/>
      <c r="ES39" s="2"/>
      <c r="ET39" s="2"/>
      <c r="EU39" s="2"/>
      <c r="EV39" s="2"/>
      <c r="EW39" s="2"/>
    </row>
    <row r="40" spans="2:173" x14ac:dyDescent="0.25">
      <c r="R40" s="192"/>
      <c r="S40" s="150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H40" s="223" t="s">
        <v>1159</v>
      </c>
      <c r="AI40" s="150"/>
      <c r="AJ40" s="2">
        <v>250</v>
      </c>
      <c r="AK40" s="2">
        <v>1500</v>
      </c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BN40" s="194" t="s">
        <v>924</v>
      </c>
      <c r="BO40" s="150" t="s">
        <v>1018</v>
      </c>
      <c r="BP40" s="2">
        <v>250</v>
      </c>
      <c r="BQ40" s="2">
        <v>1500</v>
      </c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EI40" s="210" t="s">
        <v>1186</v>
      </c>
      <c r="EJ40" s="150"/>
      <c r="EK40" s="2">
        <v>200</v>
      </c>
      <c r="EL40" s="2">
        <v>1500</v>
      </c>
      <c r="EM40" s="2"/>
      <c r="EN40" s="2"/>
      <c r="EO40" s="2"/>
      <c r="EP40" s="2"/>
      <c r="EQ40" s="2"/>
      <c r="ER40" s="2"/>
      <c r="ES40" s="2"/>
      <c r="ET40" s="2"/>
      <c r="EU40" s="2"/>
      <c r="EV40" s="2"/>
      <c r="EW40" s="2"/>
    </row>
    <row r="41" spans="2:173" ht="15.75" x14ac:dyDescent="0.25">
      <c r="R41" s="193"/>
      <c r="S41" s="151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H41" s="224"/>
      <c r="AI41" s="151"/>
      <c r="AJ41" s="2" t="s">
        <v>1160</v>
      </c>
      <c r="AK41" s="2" t="s">
        <v>1160</v>
      </c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BN41" s="195"/>
      <c r="BO41" s="151"/>
      <c r="BP41" s="84" t="s">
        <v>925</v>
      </c>
      <c r="BQ41" s="84" t="s">
        <v>925</v>
      </c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EI41" s="211"/>
      <c r="EJ41" s="151"/>
      <c r="EK41" s="2" t="s">
        <v>1187</v>
      </c>
      <c r="EL41" s="2" t="s">
        <v>1187</v>
      </c>
      <c r="EM41" s="2"/>
      <c r="EN41" s="2"/>
      <c r="EO41" s="2"/>
      <c r="EP41" s="2"/>
      <c r="EQ41" s="2"/>
      <c r="ER41" s="2"/>
      <c r="ES41" s="2"/>
      <c r="ET41" s="2"/>
      <c r="EU41" s="2"/>
      <c r="EV41" s="2"/>
      <c r="EW41" s="2"/>
    </row>
    <row r="42" spans="2:173" x14ac:dyDescent="0.25">
      <c r="R42" s="192"/>
      <c r="S42" s="150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H42" s="223" t="s">
        <v>1161</v>
      </c>
      <c r="AI42" s="150"/>
      <c r="AJ42" s="2">
        <v>250</v>
      </c>
      <c r="AK42" s="2">
        <v>1500</v>
      </c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BN42" s="194" t="s">
        <v>960</v>
      </c>
      <c r="BO42" s="150" t="s">
        <v>1019</v>
      </c>
      <c r="BP42" s="2">
        <v>250</v>
      </c>
      <c r="BQ42" s="2">
        <v>1500</v>
      </c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EI42" s="210" t="s">
        <v>1188</v>
      </c>
      <c r="EJ42" s="150"/>
      <c r="EK42" s="2">
        <v>250</v>
      </c>
      <c r="EL42" s="2">
        <v>1500</v>
      </c>
      <c r="EM42" s="2"/>
      <c r="EN42" s="2"/>
      <c r="EO42" s="2"/>
      <c r="EP42" s="2"/>
      <c r="EQ42" s="2"/>
      <c r="ER42" s="2"/>
      <c r="ES42" s="2"/>
      <c r="ET42" s="2"/>
      <c r="EU42" s="2"/>
      <c r="EV42" s="2"/>
      <c r="EW42" s="2"/>
    </row>
    <row r="43" spans="2:173" ht="15.75" x14ac:dyDescent="0.25">
      <c r="R43" s="193"/>
      <c r="S43" s="151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H43" s="224"/>
      <c r="AI43" s="151"/>
      <c r="AJ43" s="2" t="s">
        <v>1162</v>
      </c>
      <c r="AK43" s="2" t="s">
        <v>1162</v>
      </c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BN43" s="195"/>
      <c r="BO43" s="151"/>
      <c r="BP43" s="84" t="s">
        <v>961</v>
      </c>
      <c r="BQ43" s="84" t="s">
        <v>961</v>
      </c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EI43" s="211"/>
      <c r="EJ43" s="151"/>
      <c r="EK43" s="2" t="s">
        <v>1189</v>
      </c>
      <c r="EL43" s="2" t="s">
        <v>1189</v>
      </c>
      <c r="EM43" s="2"/>
      <c r="EN43" s="2"/>
      <c r="EO43" s="2"/>
      <c r="EP43" s="2"/>
      <c r="EQ43" s="2"/>
      <c r="ER43" s="2"/>
      <c r="ES43" s="2"/>
      <c r="ET43" s="2"/>
      <c r="EU43" s="2"/>
      <c r="EV43" s="2"/>
      <c r="EW43" s="2"/>
    </row>
    <row r="44" spans="2:173" x14ac:dyDescent="0.25">
      <c r="R44" s="192"/>
      <c r="S44" s="150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H44" s="223" t="s">
        <v>1163</v>
      </c>
      <c r="AI44" s="150"/>
      <c r="AJ44" s="2">
        <v>250</v>
      </c>
      <c r="AK44" s="2">
        <v>1500</v>
      </c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BN44" s="194" t="s">
        <v>962</v>
      </c>
      <c r="BO44" s="150" t="s">
        <v>1020</v>
      </c>
      <c r="BP44" s="2">
        <v>250</v>
      </c>
      <c r="BQ44" s="2">
        <v>1500</v>
      </c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EI44" s="210" t="s">
        <v>1190</v>
      </c>
      <c r="EJ44" s="150"/>
      <c r="EK44" s="2">
        <v>250</v>
      </c>
      <c r="EL44" s="2"/>
      <c r="EM44" s="2"/>
      <c r="EN44" s="2"/>
      <c r="EO44" s="2"/>
      <c r="EP44" s="2"/>
      <c r="EQ44" s="2"/>
      <c r="ER44" s="2"/>
      <c r="ES44" s="2"/>
      <c r="ET44" s="2"/>
      <c r="EU44" s="2"/>
      <c r="EV44" s="2"/>
      <c r="EW44" s="2"/>
    </row>
    <row r="45" spans="2:173" ht="15.75" x14ac:dyDescent="0.25">
      <c r="R45" s="193"/>
      <c r="S45" s="151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H45" s="224"/>
      <c r="AI45" s="151"/>
      <c r="AJ45" s="2" t="s">
        <v>1164</v>
      </c>
      <c r="AK45" s="2" t="s">
        <v>1164</v>
      </c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BN45" s="195"/>
      <c r="BO45" s="151"/>
      <c r="BP45" s="84" t="s">
        <v>963</v>
      </c>
      <c r="BQ45" s="84" t="s">
        <v>963</v>
      </c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EI45" s="211"/>
      <c r="EJ45" s="151"/>
      <c r="EK45" s="2" t="s">
        <v>1191</v>
      </c>
      <c r="EL45" s="2"/>
      <c r="EM45" s="2"/>
      <c r="EN45" s="2"/>
      <c r="EO45" s="2"/>
      <c r="EP45" s="2"/>
      <c r="EQ45" s="2"/>
      <c r="ER45" s="2"/>
      <c r="ES45" s="2"/>
      <c r="ET45" s="2"/>
      <c r="EU45" s="2"/>
      <c r="EV45" s="2"/>
      <c r="EW45" s="2"/>
    </row>
    <row r="46" spans="2:173" x14ac:dyDescent="0.25">
      <c r="R46" s="192"/>
      <c r="S46" s="150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H46" s="223" t="s">
        <v>1165</v>
      </c>
      <c r="AI46" s="150"/>
      <c r="AJ46" s="2">
        <v>250</v>
      </c>
      <c r="AK46" s="2">
        <v>1500</v>
      </c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BN46" s="194" t="s">
        <v>976</v>
      </c>
      <c r="BO46" s="150"/>
      <c r="BP46" s="2">
        <v>250</v>
      </c>
      <c r="BQ46" s="2">
        <v>1500</v>
      </c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EI46" s="210" t="s">
        <v>1246</v>
      </c>
      <c r="EJ46" s="150"/>
      <c r="EK46" s="2">
        <v>250</v>
      </c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</row>
    <row r="47" spans="2:173" x14ac:dyDescent="0.25">
      <c r="R47" s="193"/>
      <c r="S47" s="151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H47" s="224"/>
      <c r="AI47" s="151"/>
      <c r="AJ47" s="2" t="s">
        <v>1166</v>
      </c>
      <c r="AK47" s="2" t="s">
        <v>1166</v>
      </c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BN47" s="195"/>
      <c r="BO47" s="151"/>
      <c r="BP47" s="2" t="s">
        <v>1338</v>
      </c>
      <c r="BQ47" s="2" t="s">
        <v>977</v>
      </c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EI47" s="211"/>
      <c r="EJ47" s="151"/>
      <c r="EK47" s="2" t="s">
        <v>1247</v>
      </c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</row>
    <row r="48" spans="2:173" x14ac:dyDescent="0.25">
      <c r="R48" s="192"/>
      <c r="S48" s="150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H48" s="223"/>
      <c r="AI48" s="150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BN48" s="194" t="s">
        <v>1053</v>
      </c>
      <c r="BO48" s="150" t="s">
        <v>1054</v>
      </c>
      <c r="BP48" s="2">
        <v>250</v>
      </c>
      <c r="BQ48" s="2">
        <v>1500</v>
      </c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EI48" s="210"/>
      <c r="EJ48" s="150"/>
      <c r="EK48" s="2"/>
      <c r="EL48" s="2"/>
      <c r="EM48" s="2"/>
      <c r="EN48" s="2"/>
      <c r="EO48" s="2"/>
      <c r="EP48" s="2"/>
      <c r="EQ48" s="2"/>
      <c r="ER48" s="2"/>
      <c r="ES48" s="2"/>
      <c r="ET48" s="2"/>
      <c r="EU48" s="2"/>
      <c r="EV48" s="2"/>
      <c r="EW48" s="2"/>
    </row>
    <row r="49" spans="18:153" ht="15.75" x14ac:dyDescent="0.25">
      <c r="R49" s="193"/>
      <c r="S49" s="151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H49" s="224"/>
      <c r="AI49" s="151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BN49" s="195"/>
      <c r="BO49" s="151"/>
      <c r="BP49" s="84" t="s">
        <v>1055</v>
      </c>
      <c r="BQ49" s="2" t="s">
        <v>1056</v>
      </c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EI49" s="211"/>
      <c r="EJ49" s="151"/>
      <c r="EK49" s="2"/>
      <c r="EL49" s="2"/>
      <c r="EM49" s="2"/>
      <c r="EN49" s="2"/>
      <c r="EO49" s="2"/>
      <c r="EP49" s="2"/>
      <c r="EQ49" s="2"/>
      <c r="ER49" s="2"/>
      <c r="ES49" s="2"/>
      <c r="ET49" s="2"/>
      <c r="EU49" s="2"/>
      <c r="EV49" s="2"/>
      <c r="EW49" s="2"/>
    </row>
    <row r="50" spans="18:153" x14ac:dyDescent="0.25">
      <c r="AH50" s="223"/>
      <c r="AI50" s="150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BN50" s="194" t="s">
        <v>1062</v>
      </c>
      <c r="BO50" s="150" t="s">
        <v>1063</v>
      </c>
      <c r="BP50" s="2">
        <v>250</v>
      </c>
      <c r="BQ50" s="2">
        <v>1500</v>
      </c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EI50" s="210"/>
      <c r="EJ50" s="150"/>
      <c r="EK50" s="2"/>
      <c r="EL50" s="2"/>
      <c r="EM50" s="2"/>
      <c r="EN50" s="2"/>
      <c r="EO50" s="2"/>
      <c r="EP50" s="2"/>
      <c r="EQ50" s="2"/>
      <c r="ER50" s="2"/>
      <c r="ES50" s="2"/>
      <c r="ET50" s="2"/>
      <c r="EU50" s="2"/>
      <c r="EV50" s="2"/>
      <c r="EW50" s="2"/>
    </row>
    <row r="51" spans="18:153" ht="15.75" x14ac:dyDescent="0.25">
      <c r="AH51" s="224"/>
      <c r="AI51" s="151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BN51" s="195"/>
      <c r="BO51" s="151"/>
      <c r="BP51" s="84" t="s">
        <v>1064</v>
      </c>
      <c r="BQ51" s="2" t="s">
        <v>1065</v>
      </c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EI51" s="211"/>
      <c r="EJ51" s="151"/>
      <c r="EK51" s="2"/>
      <c r="EL51" s="2"/>
      <c r="EM51" s="2"/>
      <c r="EN51" s="2"/>
      <c r="EO51" s="2"/>
      <c r="EP51" s="2"/>
      <c r="EQ51" s="2"/>
      <c r="ER51" s="2"/>
      <c r="ES51" s="2"/>
      <c r="ET51" s="2"/>
      <c r="EU51" s="2"/>
      <c r="EV51" s="2"/>
      <c r="EW51" s="2"/>
    </row>
    <row r="52" spans="18:153" x14ac:dyDescent="0.25">
      <c r="AH52" s="223"/>
      <c r="AI52" s="150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BN52" s="194" t="s">
        <v>1336</v>
      </c>
      <c r="BO52" s="150"/>
      <c r="BP52" s="2">
        <v>250</v>
      </c>
      <c r="BQ52" s="2">
        <v>1500</v>
      </c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EI52" s="210"/>
      <c r="EJ52" s="150"/>
      <c r="EK52" s="2"/>
      <c r="EL52" s="2"/>
      <c r="EM52" s="2"/>
      <c r="EN52" s="2"/>
      <c r="EO52" s="2"/>
      <c r="EP52" s="2"/>
      <c r="EQ52" s="2"/>
      <c r="ER52" s="2"/>
      <c r="ES52" s="2"/>
      <c r="ET52" s="2"/>
      <c r="EU52" s="2"/>
      <c r="EV52" s="2"/>
      <c r="EW52" s="2"/>
    </row>
    <row r="53" spans="18:153" x14ac:dyDescent="0.25">
      <c r="AH53" s="224"/>
      <c r="AI53" s="151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BN53" s="195"/>
      <c r="BO53" s="151"/>
      <c r="BP53" s="2" t="s">
        <v>1337</v>
      </c>
      <c r="BQ53" s="2" t="s">
        <v>1337</v>
      </c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EI53" s="211"/>
      <c r="EJ53" s="151"/>
      <c r="EK53" s="2"/>
      <c r="EL53" s="2"/>
      <c r="EM53" s="2"/>
      <c r="EN53" s="2"/>
      <c r="EO53" s="2"/>
      <c r="EP53" s="2"/>
      <c r="EQ53" s="2"/>
      <c r="ER53" s="2"/>
      <c r="ES53" s="2"/>
      <c r="ET53" s="2"/>
      <c r="EU53" s="2"/>
      <c r="EV53" s="2"/>
      <c r="EW53" s="2"/>
    </row>
    <row r="54" spans="18:153" x14ac:dyDescent="0.25">
      <c r="AH54" s="223"/>
      <c r="AI54" s="150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BN54" s="194" t="s">
        <v>1339</v>
      </c>
      <c r="BO54" s="150"/>
      <c r="BP54" s="2">
        <v>250</v>
      </c>
      <c r="BQ54" s="2">
        <v>1500</v>
      </c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EI54" s="210"/>
      <c r="EJ54" s="150"/>
      <c r="EK54" s="2"/>
      <c r="EL54" s="2"/>
      <c r="EM54" s="2"/>
      <c r="EN54" s="2"/>
      <c r="EO54" s="2"/>
      <c r="EP54" s="2"/>
      <c r="EQ54" s="2"/>
      <c r="ER54" s="2"/>
      <c r="ES54" s="2"/>
      <c r="ET54" s="2"/>
      <c r="EU54" s="2"/>
      <c r="EV54" s="2"/>
      <c r="EW54" s="2"/>
    </row>
    <row r="55" spans="18:153" x14ac:dyDescent="0.25">
      <c r="AH55" s="224"/>
      <c r="AI55" s="151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BN55" s="195"/>
      <c r="BO55" s="151"/>
      <c r="BP55" s="2" t="s">
        <v>1343</v>
      </c>
      <c r="BQ55" s="2" t="s">
        <v>1343</v>
      </c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EI55" s="211"/>
      <c r="EJ55" s="151"/>
      <c r="EK55" s="2"/>
      <c r="EL55" s="2"/>
      <c r="EM55" s="2"/>
      <c r="EN55" s="2"/>
      <c r="EO55" s="2"/>
      <c r="EP55" s="2"/>
      <c r="EQ55" s="2"/>
      <c r="ER55" s="2"/>
      <c r="ES55" s="2"/>
      <c r="ET55" s="2"/>
      <c r="EU55" s="2"/>
      <c r="EV55" s="2"/>
      <c r="EW55" s="2"/>
    </row>
    <row r="56" spans="18:153" x14ac:dyDescent="0.25">
      <c r="AH56" s="223"/>
      <c r="AI56" s="150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BN56" s="194" t="s">
        <v>1344</v>
      </c>
      <c r="BO56" s="150"/>
      <c r="BP56" s="2"/>
      <c r="BQ56" s="2">
        <v>400</v>
      </c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EI56" s="210"/>
      <c r="EJ56" s="150"/>
      <c r="EK56" s="2"/>
      <c r="EL56" s="2"/>
      <c r="EM56" s="2"/>
      <c r="EN56" s="2"/>
      <c r="EO56" s="2"/>
      <c r="EP56" s="2"/>
      <c r="EQ56" s="2"/>
      <c r="ER56" s="2"/>
      <c r="ES56" s="2"/>
      <c r="ET56" s="2"/>
      <c r="EU56" s="2"/>
      <c r="EV56" s="2"/>
      <c r="EW56" s="2"/>
    </row>
    <row r="57" spans="18:153" x14ac:dyDescent="0.25">
      <c r="AH57" s="224"/>
      <c r="AI57" s="151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BN57" s="195"/>
      <c r="BO57" s="151"/>
      <c r="BP57" s="2"/>
      <c r="BQ57" s="2" t="s">
        <v>1345</v>
      </c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EI57" s="211"/>
      <c r="EJ57" s="151"/>
      <c r="EK57" s="2"/>
      <c r="EL57" s="2"/>
      <c r="EM57" s="2"/>
      <c r="EN57" s="2"/>
      <c r="EO57" s="2"/>
      <c r="EP57" s="2"/>
      <c r="EQ57" s="2"/>
      <c r="ER57" s="2"/>
      <c r="ES57" s="2"/>
      <c r="ET57" s="2"/>
      <c r="EU57" s="2"/>
      <c r="EV57" s="2"/>
      <c r="EW57" s="2"/>
    </row>
    <row r="58" spans="18:153" x14ac:dyDescent="0.25">
      <c r="AH58" s="223"/>
      <c r="AI58" s="150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BN58" s="194" t="s">
        <v>1346</v>
      </c>
      <c r="BO58" s="150"/>
      <c r="BP58" s="2">
        <v>250</v>
      </c>
      <c r="BQ58" s="2">
        <v>1500</v>
      </c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EI58" s="210"/>
      <c r="EJ58" s="150"/>
      <c r="EK58" s="2"/>
      <c r="EL58" s="2"/>
      <c r="EM58" s="2"/>
      <c r="EN58" s="2"/>
      <c r="EO58" s="2"/>
      <c r="EP58" s="2"/>
      <c r="EQ58" s="2"/>
      <c r="ER58" s="2"/>
      <c r="ES58" s="2"/>
      <c r="ET58" s="2"/>
      <c r="EU58" s="2"/>
      <c r="EV58" s="2"/>
      <c r="EW58" s="2"/>
    </row>
    <row r="59" spans="18:153" x14ac:dyDescent="0.25">
      <c r="AH59" s="224"/>
      <c r="AI59" s="151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BN59" s="195"/>
      <c r="BO59" s="151"/>
      <c r="BP59" s="2" t="s">
        <v>1347</v>
      </c>
      <c r="BQ59" s="2" t="s">
        <v>1347</v>
      </c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EI59" s="211"/>
      <c r="EJ59" s="151"/>
      <c r="EK59" s="2"/>
      <c r="EL59" s="2"/>
      <c r="EM59" s="2"/>
      <c r="EN59" s="2"/>
      <c r="EO59" s="2"/>
      <c r="EP59" s="2"/>
      <c r="EQ59" s="2"/>
      <c r="ER59" s="2"/>
      <c r="ES59" s="2"/>
      <c r="ET59" s="2"/>
      <c r="EU59" s="2"/>
      <c r="EV59" s="2"/>
      <c r="EW59" s="2"/>
    </row>
    <row r="60" spans="18:153" x14ac:dyDescent="0.25">
      <c r="AH60" s="223"/>
      <c r="AI60" s="150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BN60" s="194" t="s">
        <v>1348</v>
      </c>
      <c r="BO60" s="150"/>
      <c r="BP60" s="2">
        <v>250</v>
      </c>
      <c r="BQ60" s="2">
        <v>1500</v>
      </c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</row>
    <row r="61" spans="18:153" x14ac:dyDescent="0.25">
      <c r="AH61" s="224"/>
      <c r="AI61" s="151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BN61" s="195"/>
      <c r="BO61" s="151"/>
      <c r="BP61" s="2" t="s">
        <v>1349</v>
      </c>
      <c r="BQ61" s="2" t="s">
        <v>1349</v>
      </c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</row>
    <row r="62" spans="18:153" x14ac:dyDescent="0.25">
      <c r="AH62" s="223"/>
      <c r="AI62" s="150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BN62" s="194" t="s">
        <v>1350</v>
      </c>
      <c r="BO62" s="150"/>
      <c r="BP62" s="2">
        <v>250</v>
      </c>
      <c r="BQ62" s="2">
        <v>1500</v>
      </c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</row>
    <row r="63" spans="18:153" x14ac:dyDescent="0.25">
      <c r="AH63" s="224"/>
      <c r="AI63" s="151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BN63" s="195"/>
      <c r="BO63" s="151"/>
      <c r="BP63" s="2" t="s">
        <v>1351</v>
      </c>
      <c r="BQ63" s="2" t="s">
        <v>1351</v>
      </c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</row>
    <row r="64" spans="18:153" x14ac:dyDescent="0.25">
      <c r="BN64" s="194" t="s">
        <v>1313</v>
      </c>
      <c r="BO64" s="150"/>
      <c r="BP64" s="2">
        <v>250</v>
      </c>
      <c r="BQ64" s="2">
        <v>1500</v>
      </c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</row>
    <row r="65" spans="66:80" x14ac:dyDescent="0.25">
      <c r="BN65" s="195"/>
      <c r="BO65" s="151"/>
      <c r="BP65" s="2" t="s">
        <v>1352</v>
      </c>
      <c r="BQ65" s="2" t="s">
        <v>1352</v>
      </c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</row>
    <row r="66" spans="66:80" x14ac:dyDescent="0.25">
      <c r="BN66" s="194"/>
      <c r="BO66" s="150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</row>
    <row r="67" spans="66:80" x14ac:dyDescent="0.25">
      <c r="BN67" s="195"/>
      <c r="BO67" s="151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</row>
    <row r="68" spans="66:80" x14ac:dyDescent="0.25">
      <c r="BN68" s="194"/>
      <c r="BO68" s="150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</row>
    <row r="69" spans="66:80" x14ac:dyDescent="0.25">
      <c r="BN69" s="195"/>
      <c r="BO69" s="151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</row>
    <row r="70" spans="66:80" x14ac:dyDescent="0.25">
      <c r="BN70" s="194"/>
      <c r="BO70" s="150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</row>
    <row r="71" spans="66:80" x14ac:dyDescent="0.25">
      <c r="BN71" s="195"/>
      <c r="BO71" s="151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</row>
  </sheetData>
  <mergeCells count="339">
    <mergeCell ref="EI54:EI55"/>
    <mergeCell ref="EJ54:EJ55"/>
    <mergeCell ref="EI56:EI57"/>
    <mergeCell ref="EJ56:EJ57"/>
    <mergeCell ref="EI58:EI59"/>
    <mergeCell ref="EJ58:EJ59"/>
    <mergeCell ref="EI44:EI45"/>
    <mergeCell ref="EJ44:EJ45"/>
    <mergeCell ref="EI46:EI47"/>
    <mergeCell ref="EJ46:EJ47"/>
    <mergeCell ref="EI48:EI49"/>
    <mergeCell ref="EJ48:EJ49"/>
    <mergeCell ref="EI50:EI51"/>
    <mergeCell ref="EJ50:EJ51"/>
    <mergeCell ref="EI52:EI53"/>
    <mergeCell ref="EJ52:EJ53"/>
    <mergeCell ref="EI36:EI37"/>
    <mergeCell ref="EJ36:EJ37"/>
    <mergeCell ref="B26:B27"/>
    <mergeCell ref="C26:C27"/>
    <mergeCell ref="EI38:EI39"/>
    <mergeCell ref="EJ38:EJ39"/>
    <mergeCell ref="EI40:EI41"/>
    <mergeCell ref="EJ40:EJ41"/>
    <mergeCell ref="EI42:EI43"/>
    <mergeCell ref="EJ42:EJ43"/>
    <mergeCell ref="R32:R33"/>
    <mergeCell ref="S32:S33"/>
    <mergeCell ref="R34:R35"/>
    <mergeCell ref="S34:S35"/>
    <mergeCell ref="R30:R31"/>
    <mergeCell ref="S30:S31"/>
    <mergeCell ref="BN34:BN35"/>
    <mergeCell ref="BO34:BO35"/>
    <mergeCell ref="BN38:BN39"/>
    <mergeCell ref="BO38:BO39"/>
    <mergeCell ref="DE25:DE26"/>
    <mergeCell ref="DE27:DE28"/>
    <mergeCell ref="BN28:BN29"/>
    <mergeCell ref="BO28:BO29"/>
    <mergeCell ref="AH50:AH51"/>
    <mergeCell ref="AH52:AH53"/>
    <mergeCell ref="AH54:AH55"/>
    <mergeCell ref="AH56:AH57"/>
    <mergeCell ref="AH58:AH59"/>
    <mergeCell ref="AH60:AH61"/>
    <mergeCell ref="AH62:AH63"/>
    <mergeCell ref="AI36:AI37"/>
    <mergeCell ref="AI38:AI39"/>
    <mergeCell ref="AI40:AI41"/>
    <mergeCell ref="AI42:AI43"/>
    <mergeCell ref="AI44:AI45"/>
    <mergeCell ref="AI46:AI47"/>
    <mergeCell ref="AI48:AI49"/>
    <mergeCell ref="AI50:AI51"/>
    <mergeCell ref="AI52:AI53"/>
    <mergeCell ref="AI54:AI55"/>
    <mergeCell ref="AI56:AI57"/>
    <mergeCell ref="AI58:AI59"/>
    <mergeCell ref="AI60:AI61"/>
    <mergeCell ref="AI62:AI63"/>
    <mergeCell ref="CK7:CK8"/>
    <mergeCell ref="CL7:CL8"/>
    <mergeCell ref="AH36:AH37"/>
    <mergeCell ref="AH38:AH39"/>
    <mergeCell ref="AH40:AH41"/>
    <mergeCell ref="AH42:AH43"/>
    <mergeCell ref="AH44:AH45"/>
    <mergeCell ref="AH46:AH47"/>
    <mergeCell ref="AH48:AH49"/>
    <mergeCell ref="BO18:BO19"/>
    <mergeCell ref="BN18:BN19"/>
    <mergeCell ref="BO16:BO17"/>
    <mergeCell ref="BN16:BN17"/>
    <mergeCell ref="BO32:BO33"/>
    <mergeCell ref="BN32:BN33"/>
    <mergeCell ref="BO30:BO31"/>
    <mergeCell ref="BN30:BN31"/>
    <mergeCell ref="AH22:AH23"/>
    <mergeCell ref="AI22:AI23"/>
    <mergeCell ref="AH20:AH21"/>
    <mergeCell ref="AI20:AI21"/>
    <mergeCell ref="BO36:BO37"/>
    <mergeCell ref="BN36:BN37"/>
    <mergeCell ref="BO14:BO15"/>
    <mergeCell ref="BN50:BN51"/>
    <mergeCell ref="BO50:BO51"/>
    <mergeCell ref="BN40:BN41"/>
    <mergeCell ref="BO40:BO41"/>
    <mergeCell ref="BN42:BN43"/>
    <mergeCell ref="BO42:BO43"/>
    <mergeCell ref="BN44:BN45"/>
    <mergeCell ref="BO44:BO45"/>
    <mergeCell ref="BN46:BN47"/>
    <mergeCell ref="BO46:BO47"/>
    <mergeCell ref="BN48:BN49"/>
    <mergeCell ref="BO48:BO49"/>
    <mergeCell ref="BQ5:BV6"/>
    <mergeCell ref="AY34:AY35"/>
    <mergeCell ref="AX34:AX35"/>
    <mergeCell ref="AX24:AX25"/>
    <mergeCell ref="AY22:AY23"/>
    <mergeCell ref="AX22:AX23"/>
    <mergeCell ref="AY28:AY29"/>
    <mergeCell ref="AX28:AX29"/>
    <mergeCell ref="AY32:AY33"/>
    <mergeCell ref="AX32:AX33"/>
    <mergeCell ref="AY30:AY31"/>
    <mergeCell ref="AX30:AX31"/>
    <mergeCell ref="BO12:BO13"/>
    <mergeCell ref="BN12:BN13"/>
    <mergeCell ref="BO10:BO11"/>
    <mergeCell ref="BN10:BN11"/>
    <mergeCell ref="BO8:BO9"/>
    <mergeCell ref="BN8:BN9"/>
    <mergeCell ref="BO24:BO25"/>
    <mergeCell ref="BN24:BN25"/>
    <mergeCell ref="BO22:BO23"/>
    <mergeCell ref="BN22:BN23"/>
    <mergeCell ref="BO20:BO21"/>
    <mergeCell ref="BN20:BN21"/>
    <mergeCell ref="AY26:AY27"/>
    <mergeCell ref="AX26:AX27"/>
    <mergeCell ref="AY24:AY25"/>
    <mergeCell ref="AH24:AH25"/>
    <mergeCell ref="AI24:AI25"/>
    <mergeCell ref="AH26:AH27"/>
    <mergeCell ref="AI26:AI27"/>
    <mergeCell ref="BN14:BN15"/>
    <mergeCell ref="BO26:BO27"/>
    <mergeCell ref="BN26:BN27"/>
    <mergeCell ref="EI16:EI17"/>
    <mergeCell ref="EJ16:EJ17"/>
    <mergeCell ref="EI28:EI29"/>
    <mergeCell ref="EJ28:EJ29"/>
    <mergeCell ref="EI30:EI31"/>
    <mergeCell ref="DE29:DE30"/>
    <mergeCell ref="DF29:DF30"/>
    <mergeCell ref="DE31:DE32"/>
    <mergeCell ref="DF31:DF32"/>
    <mergeCell ref="EI18:EI19"/>
    <mergeCell ref="EJ18:EJ19"/>
    <mergeCell ref="EI20:EI21"/>
    <mergeCell ref="EJ20:EJ21"/>
    <mergeCell ref="EI22:EI23"/>
    <mergeCell ref="EJ22:EJ23"/>
    <mergeCell ref="EI24:EI25"/>
    <mergeCell ref="EJ24:EJ25"/>
    <mergeCell ref="DE23:DE24"/>
    <mergeCell ref="DF23:DF24"/>
    <mergeCell ref="DF25:DF26"/>
    <mergeCell ref="DF27:DF28"/>
    <mergeCell ref="DE13:DE14"/>
    <mergeCell ref="DE15:DE16"/>
    <mergeCell ref="DE17:DE18"/>
    <mergeCell ref="FC27:FC28"/>
    <mergeCell ref="FD27:FD28"/>
    <mergeCell ref="FC29:FC30"/>
    <mergeCell ref="FD29:FD30"/>
    <mergeCell ref="FC31:FC32"/>
    <mergeCell ref="FD31:FD32"/>
    <mergeCell ref="EJ30:EJ31"/>
    <mergeCell ref="EI32:EI33"/>
    <mergeCell ref="EJ32:EJ33"/>
    <mergeCell ref="FC33:FC34"/>
    <mergeCell ref="FD33:FD34"/>
    <mergeCell ref="EI34:EI35"/>
    <mergeCell ref="EJ34:EJ35"/>
    <mergeCell ref="EI26:EI27"/>
    <mergeCell ref="EJ26:EJ27"/>
    <mergeCell ref="FC17:FC18"/>
    <mergeCell ref="FD17:FD18"/>
    <mergeCell ref="FC19:FC20"/>
    <mergeCell ref="FD19:FD20"/>
    <mergeCell ref="FC21:FC22"/>
    <mergeCell ref="FD21:FD22"/>
    <mergeCell ref="FC23:FC24"/>
    <mergeCell ref="FD23:FD24"/>
    <mergeCell ref="FC25:FC26"/>
    <mergeCell ref="FD25:FD26"/>
    <mergeCell ref="FC7:FC8"/>
    <mergeCell ref="FD7:FD8"/>
    <mergeCell ref="FC9:FC10"/>
    <mergeCell ref="FD9:FD10"/>
    <mergeCell ref="FC11:FC12"/>
    <mergeCell ref="FD11:FD12"/>
    <mergeCell ref="FC13:FC14"/>
    <mergeCell ref="FD13:FD14"/>
    <mergeCell ref="FC15:FC16"/>
    <mergeCell ref="FD15:FD16"/>
    <mergeCell ref="FF4:FK5"/>
    <mergeCell ref="CO4:CT5"/>
    <mergeCell ref="DI2:DN3"/>
    <mergeCell ref="AX20:AX21"/>
    <mergeCell ref="AY20:AY21"/>
    <mergeCell ref="AH34:AH35"/>
    <mergeCell ref="AI34:AI35"/>
    <mergeCell ref="BA5:BF6"/>
    <mergeCell ref="AX8:AX9"/>
    <mergeCell ref="AY8:AY9"/>
    <mergeCell ref="AX10:AX11"/>
    <mergeCell ref="AY10:AY11"/>
    <mergeCell ref="AX12:AX13"/>
    <mergeCell ref="AY12:AY13"/>
    <mergeCell ref="AX14:AX15"/>
    <mergeCell ref="AH28:AH29"/>
    <mergeCell ref="AI28:AI29"/>
    <mergeCell ref="AH30:AH31"/>
    <mergeCell ref="AI30:AI31"/>
    <mergeCell ref="AH32:AH33"/>
    <mergeCell ref="AI32:AI33"/>
    <mergeCell ref="AH16:AH17"/>
    <mergeCell ref="AI16:AI17"/>
    <mergeCell ref="AY14:AY15"/>
    <mergeCell ref="AH8:AH9"/>
    <mergeCell ref="AI8:AI9"/>
    <mergeCell ref="AH10:AH11"/>
    <mergeCell ref="AI10:AI11"/>
    <mergeCell ref="AH12:AH13"/>
    <mergeCell ref="AX16:AX17"/>
    <mergeCell ref="AY16:AY17"/>
    <mergeCell ref="AX18:AX19"/>
    <mergeCell ref="AY18:AY19"/>
    <mergeCell ref="AI12:AI13"/>
    <mergeCell ref="AH14:AH15"/>
    <mergeCell ref="AI14:AI15"/>
    <mergeCell ref="AH18:AH19"/>
    <mergeCell ref="AI18:AI19"/>
    <mergeCell ref="S28:S29"/>
    <mergeCell ref="B14:B15"/>
    <mergeCell ref="C14:C15"/>
    <mergeCell ref="B16:B17"/>
    <mergeCell ref="C16:C17"/>
    <mergeCell ref="B24:B25"/>
    <mergeCell ref="B28:B29"/>
    <mergeCell ref="C28:C29"/>
    <mergeCell ref="C30:C31"/>
    <mergeCell ref="B30:B31"/>
    <mergeCell ref="C24:C25"/>
    <mergeCell ref="B32:B33"/>
    <mergeCell ref="C32:C33"/>
    <mergeCell ref="B18:B19"/>
    <mergeCell ref="C18:C19"/>
    <mergeCell ref="C20:C21"/>
    <mergeCell ref="B22:B23"/>
    <mergeCell ref="C22:C23"/>
    <mergeCell ref="R26:R27"/>
    <mergeCell ref="R28:R29"/>
    <mergeCell ref="B8:B9"/>
    <mergeCell ref="C8:C9"/>
    <mergeCell ref="B10:B11"/>
    <mergeCell ref="C10:C11"/>
    <mergeCell ref="B12:B13"/>
    <mergeCell ref="S26:S27"/>
    <mergeCell ref="CK33:CK34"/>
    <mergeCell ref="CL33:CL34"/>
    <mergeCell ref="B34:B35"/>
    <mergeCell ref="C34:C35"/>
    <mergeCell ref="R8:R9"/>
    <mergeCell ref="S8:S9"/>
    <mergeCell ref="R10:R11"/>
    <mergeCell ref="S10:S11"/>
    <mergeCell ref="R12:R13"/>
    <mergeCell ref="R22:R23"/>
    <mergeCell ref="S22:S23"/>
    <mergeCell ref="R24:R25"/>
    <mergeCell ref="S24:S25"/>
    <mergeCell ref="R20:R21"/>
    <mergeCell ref="S20:S21"/>
    <mergeCell ref="B20:B21"/>
    <mergeCell ref="S12:S13"/>
    <mergeCell ref="R14:R15"/>
    <mergeCell ref="EN5:ES6"/>
    <mergeCell ref="EI8:EI9"/>
    <mergeCell ref="EJ8:EJ9"/>
    <mergeCell ref="EI10:EI11"/>
    <mergeCell ref="EJ10:EJ11"/>
    <mergeCell ref="EI12:EI13"/>
    <mergeCell ref="EJ12:EJ13"/>
    <mergeCell ref="EI14:EI15"/>
    <mergeCell ref="EJ14:EJ15"/>
    <mergeCell ref="DE5:DE6"/>
    <mergeCell ref="DE7:DE8"/>
    <mergeCell ref="DE9:DE10"/>
    <mergeCell ref="DE11:DE12"/>
    <mergeCell ref="C12:C13"/>
    <mergeCell ref="DE19:DE20"/>
    <mergeCell ref="DE21:DE22"/>
    <mergeCell ref="DF5:DF6"/>
    <mergeCell ref="DF7:DF8"/>
    <mergeCell ref="DF9:DF10"/>
    <mergeCell ref="DF11:DF12"/>
    <mergeCell ref="DF13:DF14"/>
    <mergeCell ref="DF15:DF16"/>
    <mergeCell ref="DF17:DF18"/>
    <mergeCell ref="DF19:DF20"/>
    <mergeCell ref="DF21:DF22"/>
    <mergeCell ref="E5:J6"/>
    <mergeCell ref="U5:Z6"/>
    <mergeCell ref="S14:S15"/>
    <mergeCell ref="R16:R17"/>
    <mergeCell ref="S16:S17"/>
    <mergeCell ref="R18:R19"/>
    <mergeCell ref="S18:S19"/>
    <mergeCell ref="AK5:AP6"/>
    <mergeCell ref="BN52:BN53"/>
    <mergeCell ref="BO52:BO53"/>
    <mergeCell ref="BN54:BN55"/>
    <mergeCell ref="BO54:BO55"/>
    <mergeCell ref="BN56:BN57"/>
    <mergeCell ref="BO56:BO57"/>
    <mergeCell ref="BN58:BN59"/>
    <mergeCell ref="BO58:BO59"/>
    <mergeCell ref="BN60:BN61"/>
    <mergeCell ref="BO60:BO61"/>
    <mergeCell ref="BN62:BN63"/>
    <mergeCell ref="BO62:BO63"/>
    <mergeCell ref="BN64:BN65"/>
    <mergeCell ref="BO64:BO65"/>
    <mergeCell ref="BN66:BN67"/>
    <mergeCell ref="BO66:BO67"/>
    <mergeCell ref="BN68:BN69"/>
    <mergeCell ref="BO68:BO69"/>
    <mergeCell ref="BN70:BN71"/>
    <mergeCell ref="BO70:BO71"/>
    <mergeCell ref="R46:R47"/>
    <mergeCell ref="S46:S47"/>
    <mergeCell ref="R48:R49"/>
    <mergeCell ref="S48:S49"/>
    <mergeCell ref="R36:R37"/>
    <mergeCell ref="S36:S37"/>
    <mergeCell ref="R38:R39"/>
    <mergeCell ref="S38:S39"/>
    <mergeCell ref="R40:R41"/>
    <mergeCell ref="S40:S41"/>
    <mergeCell ref="R42:R43"/>
    <mergeCell ref="S42:S43"/>
    <mergeCell ref="R44:R45"/>
    <mergeCell ref="S44:S45"/>
  </mergeCells>
  <phoneticPr fontId="6" type="noConversion"/>
  <pageMargins left="0.7" right="0.7" top="0.75" bottom="0.75" header="0.3" footer="0.3"/>
  <pageSetup paperSize="9"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A45FB-CEE1-4EA7-8966-006896C9DB69}">
  <dimension ref="B3:DM53"/>
  <sheetViews>
    <sheetView rightToLeft="1" tabSelected="1" topLeftCell="DA1" workbookViewId="0">
      <selection activeCell="CE6" sqref="CE6:CH29"/>
    </sheetView>
  </sheetViews>
  <sheetFormatPr defaultColWidth="11.42578125" defaultRowHeight="15" x14ac:dyDescent="0.25"/>
  <cols>
    <col min="2" max="2" width="15.7109375" bestFit="1" customWidth="1"/>
    <col min="3" max="3" width="25.5703125" bestFit="1" customWidth="1"/>
    <col min="4" max="4" width="19.42578125" customWidth="1"/>
    <col min="5" max="5" width="17.85546875" customWidth="1"/>
    <col min="6" max="6" width="17" customWidth="1"/>
    <col min="7" max="7" width="15.28515625" customWidth="1"/>
    <col min="16" max="16" width="15.5703125" customWidth="1"/>
    <col min="20" max="20" width="10.5703125" customWidth="1"/>
    <col min="21" max="21" width="22.28515625" customWidth="1"/>
    <col min="22" max="22" width="29" customWidth="1"/>
    <col min="23" max="23" width="23.42578125" customWidth="1"/>
    <col min="24" max="24" width="20.5703125" bestFit="1" customWidth="1"/>
    <col min="25" max="25" width="14.28515625" style="55" customWidth="1"/>
    <col min="41" max="41" width="7.28515625" customWidth="1"/>
    <col min="42" max="42" width="20.85546875" bestFit="1" customWidth="1"/>
    <col min="43" max="43" width="34.85546875" bestFit="1" customWidth="1"/>
    <col min="44" max="45" width="20.5703125" bestFit="1" customWidth="1"/>
    <col min="61" max="61" width="6.85546875" customWidth="1"/>
    <col min="62" max="62" width="18.85546875" customWidth="1"/>
    <col min="63" max="63" width="20" customWidth="1"/>
    <col min="64" max="65" width="20.5703125" bestFit="1" customWidth="1"/>
    <col min="83" max="83" width="18.28515625" customWidth="1"/>
    <col min="84" max="84" width="29.7109375" bestFit="1" customWidth="1"/>
    <col min="85" max="85" width="22" customWidth="1"/>
    <col min="86" max="87" width="22.140625" customWidth="1"/>
    <col min="103" max="103" width="19.42578125" customWidth="1"/>
    <col min="104" max="104" width="18.85546875" customWidth="1"/>
    <col min="105" max="105" width="22.28515625" customWidth="1"/>
    <col min="106" max="106" width="20.140625" customWidth="1"/>
    <col min="107" max="107" width="15.42578125" customWidth="1"/>
  </cols>
  <sheetData>
    <row r="3" spans="2:117" ht="18.75" customHeight="1" x14ac:dyDescent="0.3">
      <c r="BJ3" s="53"/>
      <c r="BK3" s="53"/>
      <c r="BL3" s="53"/>
      <c r="BM3" s="53"/>
      <c r="BN3" s="54"/>
      <c r="BO3" s="251" t="s">
        <v>687</v>
      </c>
      <c r="BP3" s="252"/>
      <c r="BQ3" s="252"/>
      <c r="BR3" s="252"/>
      <c r="BS3" s="252"/>
      <c r="BT3" s="253"/>
      <c r="BU3" s="53"/>
      <c r="BV3" s="53"/>
      <c r="BW3" s="53"/>
      <c r="BX3" s="53"/>
      <c r="CE3" s="53"/>
      <c r="CF3" s="53"/>
      <c r="CG3" s="53"/>
      <c r="CH3" s="53"/>
      <c r="CI3" s="54"/>
      <c r="CJ3" s="251" t="s">
        <v>688</v>
      </c>
      <c r="CK3" s="252"/>
      <c r="CL3" s="252"/>
      <c r="CM3" s="252"/>
      <c r="CN3" s="252"/>
      <c r="CO3" s="253"/>
      <c r="CP3" s="53"/>
      <c r="CQ3" s="53"/>
      <c r="CR3" s="53"/>
      <c r="CS3" s="53"/>
    </row>
    <row r="4" spans="2:117" ht="18.75" customHeight="1" x14ac:dyDescent="0.3">
      <c r="BJ4" s="53"/>
      <c r="BK4" s="53"/>
      <c r="BL4" s="53"/>
      <c r="BM4" s="53"/>
      <c r="BN4" s="54"/>
      <c r="BO4" s="254"/>
      <c r="BP4" s="255"/>
      <c r="BQ4" s="255"/>
      <c r="BR4" s="255"/>
      <c r="BS4" s="255"/>
      <c r="BT4" s="256"/>
      <c r="BU4" s="53"/>
      <c r="BV4" s="53"/>
      <c r="BW4" s="53"/>
      <c r="BX4" s="53"/>
      <c r="CE4" s="53"/>
      <c r="CF4" s="53"/>
      <c r="CG4" s="53"/>
      <c r="CH4" s="53"/>
      <c r="CI4" s="54"/>
      <c r="CJ4" s="254"/>
      <c r="CK4" s="255"/>
      <c r="CL4" s="255"/>
      <c r="CM4" s="255"/>
      <c r="CN4" s="255"/>
      <c r="CO4" s="256"/>
      <c r="CP4" s="53"/>
      <c r="CQ4" s="53"/>
      <c r="CR4" s="53"/>
      <c r="CS4" s="53"/>
      <c r="CY4" s="53"/>
      <c r="CZ4" s="53"/>
      <c r="DA4" s="53"/>
      <c r="DB4" s="53"/>
      <c r="DC4" s="53"/>
      <c r="DD4" s="251" t="s">
        <v>897</v>
      </c>
      <c r="DE4" s="252"/>
      <c r="DF4" s="252"/>
      <c r="DG4" s="252"/>
      <c r="DH4" s="252"/>
      <c r="DI4" s="253"/>
      <c r="DJ4" s="53"/>
      <c r="DK4" s="53"/>
      <c r="DL4" s="53"/>
      <c r="DM4" s="53"/>
    </row>
    <row r="5" spans="2:117" ht="18.75" customHeight="1" x14ac:dyDescent="0.35">
      <c r="B5" s="53"/>
      <c r="C5" s="53"/>
      <c r="D5" s="53"/>
      <c r="E5" s="53"/>
      <c r="F5" s="53"/>
      <c r="G5" s="251" t="s">
        <v>495</v>
      </c>
      <c r="H5" s="252"/>
      <c r="I5" s="252"/>
      <c r="J5" s="252"/>
      <c r="K5" s="252"/>
      <c r="L5" s="253"/>
      <c r="M5" s="53"/>
      <c r="N5" s="53"/>
      <c r="O5" s="53"/>
      <c r="P5" s="53"/>
      <c r="U5" s="53"/>
      <c r="V5" s="53"/>
      <c r="W5" s="53"/>
      <c r="X5" s="53"/>
      <c r="Y5" s="54"/>
      <c r="Z5" s="251" t="s">
        <v>498</v>
      </c>
      <c r="AA5" s="252"/>
      <c r="AB5" s="252"/>
      <c r="AC5" s="252"/>
      <c r="AD5" s="252"/>
      <c r="AE5" s="253"/>
      <c r="AF5" s="53"/>
      <c r="AG5" s="53"/>
      <c r="AH5" s="53"/>
      <c r="AI5" s="53"/>
      <c r="AP5" s="53"/>
      <c r="AQ5" s="53"/>
      <c r="AR5" s="53"/>
      <c r="AS5" s="53"/>
      <c r="AT5" s="54"/>
      <c r="AU5" s="251" t="s">
        <v>499</v>
      </c>
      <c r="AV5" s="252"/>
      <c r="AW5" s="252"/>
      <c r="AX5" s="252"/>
      <c r="AY5" s="252"/>
      <c r="AZ5" s="253"/>
      <c r="BA5" s="53"/>
      <c r="BB5" s="53"/>
      <c r="BC5" s="53"/>
      <c r="BD5" s="53"/>
      <c r="BJ5" s="56" t="s">
        <v>215</v>
      </c>
      <c r="BK5" s="7" t="s">
        <v>1</v>
      </c>
      <c r="BL5" s="7" t="s">
        <v>2</v>
      </c>
      <c r="BM5" s="7" t="s">
        <v>3</v>
      </c>
      <c r="BN5" s="20" t="s">
        <v>4</v>
      </c>
      <c r="BO5" s="1" t="s">
        <v>5</v>
      </c>
      <c r="BP5" s="1" t="s">
        <v>6</v>
      </c>
      <c r="BQ5" s="1" t="s">
        <v>7</v>
      </c>
      <c r="BR5" s="1" t="s">
        <v>8</v>
      </c>
      <c r="BS5" s="1" t="s">
        <v>9</v>
      </c>
      <c r="BT5" s="1" t="s">
        <v>10</v>
      </c>
      <c r="BU5" s="1" t="s">
        <v>11</v>
      </c>
      <c r="BV5" s="1" t="s">
        <v>12</v>
      </c>
      <c r="BW5" s="1" t="s">
        <v>13</v>
      </c>
      <c r="BX5" s="1" t="s">
        <v>14</v>
      </c>
      <c r="CE5" s="56" t="s">
        <v>215</v>
      </c>
      <c r="CF5" s="7" t="s">
        <v>1</v>
      </c>
      <c r="CG5" s="7" t="s">
        <v>2</v>
      </c>
      <c r="CH5" s="7" t="s">
        <v>3</v>
      </c>
      <c r="CI5" s="20" t="s">
        <v>4</v>
      </c>
      <c r="CJ5" s="1" t="s">
        <v>5</v>
      </c>
      <c r="CK5" s="1" t="s">
        <v>6</v>
      </c>
      <c r="CL5" s="1" t="s">
        <v>7</v>
      </c>
      <c r="CM5" s="1" t="s">
        <v>8</v>
      </c>
      <c r="CN5" s="1" t="s">
        <v>9</v>
      </c>
      <c r="CO5" s="1" t="s">
        <v>10</v>
      </c>
      <c r="CP5" s="1" t="s">
        <v>11</v>
      </c>
      <c r="CQ5" s="1" t="s">
        <v>12</v>
      </c>
      <c r="CR5" s="1" t="s">
        <v>13</v>
      </c>
      <c r="CS5" s="1" t="s">
        <v>14</v>
      </c>
      <c r="CY5" s="53"/>
      <c r="CZ5" s="53"/>
      <c r="DA5" s="53"/>
      <c r="DB5" s="53"/>
      <c r="DC5" s="53"/>
      <c r="DD5" s="254"/>
      <c r="DE5" s="255"/>
      <c r="DF5" s="255"/>
      <c r="DG5" s="255"/>
      <c r="DH5" s="255"/>
      <c r="DI5" s="256"/>
      <c r="DJ5" s="53"/>
      <c r="DK5" s="53"/>
      <c r="DL5" s="53"/>
      <c r="DM5" s="53"/>
    </row>
    <row r="6" spans="2:117" ht="18.75" customHeight="1" x14ac:dyDescent="0.35">
      <c r="B6" s="53"/>
      <c r="C6" s="53"/>
      <c r="D6" s="53"/>
      <c r="E6" s="53"/>
      <c r="F6" s="53"/>
      <c r="G6" s="254"/>
      <c r="H6" s="255"/>
      <c r="I6" s="255"/>
      <c r="J6" s="255"/>
      <c r="K6" s="255"/>
      <c r="L6" s="256"/>
      <c r="M6" s="53"/>
      <c r="N6" s="53"/>
      <c r="O6" s="53"/>
      <c r="P6" s="53"/>
      <c r="U6" s="53"/>
      <c r="V6" s="53"/>
      <c r="W6" s="53"/>
      <c r="X6" s="53"/>
      <c r="Y6" s="54"/>
      <c r="Z6" s="254"/>
      <c r="AA6" s="255"/>
      <c r="AB6" s="255"/>
      <c r="AC6" s="255"/>
      <c r="AD6" s="255"/>
      <c r="AE6" s="256"/>
      <c r="AF6" s="53"/>
      <c r="AG6" s="53"/>
      <c r="AH6" s="53"/>
      <c r="AI6" s="53"/>
      <c r="AP6" s="53"/>
      <c r="AQ6" s="53"/>
      <c r="AR6" s="53"/>
      <c r="AS6" s="53"/>
      <c r="AT6" s="54"/>
      <c r="AU6" s="254"/>
      <c r="AV6" s="255"/>
      <c r="AW6" s="255"/>
      <c r="AX6" s="255"/>
      <c r="AY6" s="255"/>
      <c r="AZ6" s="256"/>
      <c r="BA6" s="53"/>
      <c r="BB6" s="53"/>
      <c r="BC6" s="53"/>
      <c r="BD6" s="53"/>
      <c r="BJ6" s="257" t="s">
        <v>803</v>
      </c>
      <c r="BK6" s="142"/>
      <c r="BL6" s="51">
        <v>250</v>
      </c>
      <c r="BM6" s="51">
        <v>1500</v>
      </c>
      <c r="BN6" s="51"/>
      <c r="BO6" s="51"/>
      <c r="BP6" s="51"/>
      <c r="BQ6" s="51"/>
      <c r="BR6" s="51"/>
      <c r="BS6" s="51"/>
      <c r="BT6" s="51"/>
      <c r="BU6" s="51"/>
      <c r="BV6" s="51"/>
      <c r="BW6" s="51"/>
      <c r="BX6" s="51"/>
      <c r="CE6" s="257" t="s">
        <v>799</v>
      </c>
      <c r="CF6" s="250"/>
      <c r="CG6" s="51">
        <v>250</v>
      </c>
      <c r="CH6" s="51">
        <v>1500</v>
      </c>
      <c r="CI6" s="46"/>
      <c r="CJ6" s="46"/>
      <c r="CK6" s="46"/>
      <c r="CL6" s="46"/>
      <c r="CM6" s="46"/>
      <c r="CN6" s="46"/>
      <c r="CO6" s="46"/>
      <c r="CP6" s="46"/>
      <c r="CQ6" s="46"/>
      <c r="CR6" s="46"/>
      <c r="CS6" s="46"/>
      <c r="CY6" s="56" t="s">
        <v>215</v>
      </c>
      <c r="CZ6" s="7" t="s">
        <v>1</v>
      </c>
      <c r="DA6" s="7" t="s">
        <v>2</v>
      </c>
      <c r="DB6" s="7" t="s">
        <v>3</v>
      </c>
      <c r="DC6" s="1" t="s">
        <v>4</v>
      </c>
      <c r="DD6" s="1" t="s">
        <v>5</v>
      </c>
      <c r="DE6" s="1" t="s">
        <v>6</v>
      </c>
      <c r="DF6" s="1" t="s">
        <v>7</v>
      </c>
      <c r="DG6" s="1" t="s">
        <v>8</v>
      </c>
      <c r="DH6" s="1" t="s">
        <v>9</v>
      </c>
      <c r="DI6" s="1" t="s">
        <v>10</v>
      </c>
      <c r="DJ6" s="1" t="s">
        <v>11</v>
      </c>
      <c r="DK6" s="1" t="s">
        <v>12</v>
      </c>
      <c r="DL6" s="1" t="s">
        <v>13</v>
      </c>
      <c r="DM6" s="1" t="s">
        <v>14</v>
      </c>
    </row>
    <row r="7" spans="2:117" ht="21" x14ac:dyDescent="0.35">
      <c r="B7" s="56" t="s">
        <v>215</v>
      </c>
      <c r="C7" s="7" t="s">
        <v>1</v>
      </c>
      <c r="D7" s="7" t="s">
        <v>2</v>
      </c>
      <c r="E7" s="7" t="s">
        <v>3</v>
      </c>
      <c r="F7" s="1" t="s">
        <v>4</v>
      </c>
      <c r="G7" s="1" t="s">
        <v>5</v>
      </c>
      <c r="H7" s="1" t="s">
        <v>6</v>
      </c>
      <c r="I7" s="1" t="s">
        <v>7</v>
      </c>
      <c r="J7" s="1" t="s">
        <v>8</v>
      </c>
      <c r="K7" s="1" t="s">
        <v>9</v>
      </c>
      <c r="L7" s="1" t="s">
        <v>10</v>
      </c>
      <c r="M7" s="1" t="s">
        <v>11</v>
      </c>
      <c r="N7" s="1" t="s">
        <v>12</v>
      </c>
      <c r="O7" s="1" t="s">
        <v>13</v>
      </c>
      <c r="P7" s="1" t="s">
        <v>14</v>
      </c>
      <c r="U7" s="56" t="s">
        <v>215</v>
      </c>
      <c r="V7" s="7" t="s">
        <v>1</v>
      </c>
      <c r="W7" s="7" t="s">
        <v>2</v>
      </c>
      <c r="X7" s="7" t="s">
        <v>3</v>
      </c>
      <c r="Y7" s="20" t="s">
        <v>4</v>
      </c>
      <c r="Z7" s="1" t="s">
        <v>5</v>
      </c>
      <c r="AA7" s="1" t="s">
        <v>6</v>
      </c>
      <c r="AB7" s="1" t="s">
        <v>7</v>
      </c>
      <c r="AC7" s="1" t="s">
        <v>8</v>
      </c>
      <c r="AD7" s="1" t="s">
        <v>9</v>
      </c>
      <c r="AE7" s="1" t="s">
        <v>10</v>
      </c>
      <c r="AF7" s="1" t="s">
        <v>11</v>
      </c>
      <c r="AG7" s="1" t="s">
        <v>12</v>
      </c>
      <c r="AH7" s="1" t="s">
        <v>13</v>
      </c>
      <c r="AI7" s="1" t="s">
        <v>14</v>
      </c>
      <c r="AP7" s="56" t="s">
        <v>215</v>
      </c>
      <c r="AQ7" s="7" t="s">
        <v>1</v>
      </c>
      <c r="AR7" s="7" t="s">
        <v>2</v>
      </c>
      <c r="AS7" s="7" t="s">
        <v>3</v>
      </c>
      <c r="AT7" s="20" t="s">
        <v>4</v>
      </c>
      <c r="AU7" s="1" t="s">
        <v>5</v>
      </c>
      <c r="AV7" s="1" t="s">
        <v>6</v>
      </c>
      <c r="AW7" s="1" t="s">
        <v>7</v>
      </c>
      <c r="AX7" s="1" t="s">
        <v>8</v>
      </c>
      <c r="AY7" s="1" t="s">
        <v>9</v>
      </c>
      <c r="AZ7" s="1" t="s">
        <v>10</v>
      </c>
      <c r="BA7" s="1" t="s">
        <v>11</v>
      </c>
      <c r="BB7" s="1" t="s">
        <v>12</v>
      </c>
      <c r="BC7" s="1" t="s">
        <v>13</v>
      </c>
      <c r="BD7" s="1" t="s">
        <v>14</v>
      </c>
      <c r="BJ7" s="258"/>
      <c r="BK7" s="143"/>
      <c r="BL7" s="51" t="s">
        <v>808</v>
      </c>
      <c r="BM7" s="51" t="s">
        <v>808</v>
      </c>
      <c r="BN7" s="51"/>
      <c r="BO7" s="51"/>
      <c r="BP7" s="51"/>
      <c r="BQ7" s="51"/>
      <c r="BR7" s="51"/>
      <c r="BS7" s="51"/>
      <c r="BT7" s="51"/>
      <c r="BU7" s="51"/>
      <c r="BV7" s="51"/>
      <c r="BW7" s="51"/>
      <c r="BX7" s="51"/>
      <c r="CE7" s="258"/>
      <c r="CF7" s="225"/>
      <c r="CG7" s="51" t="s">
        <v>800</v>
      </c>
      <c r="CH7" s="51" t="s">
        <v>800</v>
      </c>
      <c r="CI7" s="46"/>
      <c r="CJ7" s="46"/>
      <c r="CK7" s="46"/>
      <c r="CL7" s="46"/>
      <c r="CM7" s="46"/>
      <c r="CN7" s="46"/>
      <c r="CO7" s="46"/>
      <c r="CP7" s="46"/>
      <c r="CQ7" s="46"/>
      <c r="CR7" s="46"/>
      <c r="CS7" s="46"/>
      <c r="CY7" s="196"/>
      <c r="CZ7" s="196"/>
      <c r="DA7" s="3"/>
      <c r="DB7" s="3"/>
      <c r="DC7" s="46"/>
      <c r="DD7" s="46"/>
      <c r="DE7" s="46"/>
      <c r="DF7" s="46"/>
      <c r="DG7" s="46"/>
      <c r="DH7" s="46"/>
      <c r="DI7" s="46"/>
      <c r="DJ7" s="46"/>
      <c r="DK7" s="46"/>
      <c r="DL7" s="46"/>
      <c r="DM7" s="46"/>
    </row>
    <row r="8" spans="2:117" ht="18.75" x14ac:dyDescent="0.25"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U8" s="140" t="s">
        <v>496</v>
      </c>
      <c r="V8" s="150" t="s">
        <v>1008</v>
      </c>
      <c r="W8" s="51">
        <v>250</v>
      </c>
      <c r="X8" s="46">
        <v>1500</v>
      </c>
      <c r="Y8" s="46"/>
      <c r="Z8" s="46"/>
      <c r="AA8" s="46"/>
      <c r="AB8" s="46"/>
      <c r="AC8" s="46"/>
      <c r="AD8" s="46"/>
      <c r="AE8" s="46"/>
      <c r="AF8" s="46"/>
      <c r="AG8" s="46"/>
      <c r="AH8" s="46"/>
      <c r="AI8" s="46"/>
      <c r="AP8" s="140" t="s">
        <v>500</v>
      </c>
      <c r="AQ8" s="250" t="s">
        <v>1025</v>
      </c>
      <c r="AR8" s="51">
        <v>250</v>
      </c>
      <c r="AS8" s="46">
        <v>1500</v>
      </c>
      <c r="AT8" s="46"/>
      <c r="AU8" s="46"/>
      <c r="AV8" s="46"/>
      <c r="AW8" s="46"/>
      <c r="AX8" s="46"/>
      <c r="AY8" s="46"/>
      <c r="AZ8" s="46"/>
      <c r="BA8" s="46"/>
      <c r="BB8" s="46"/>
      <c r="BC8" s="46"/>
      <c r="BD8" s="46"/>
      <c r="BJ8" s="140" t="s">
        <v>1172</v>
      </c>
      <c r="BK8" s="142"/>
      <c r="BL8" s="51">
        <v>250</v>
      </c>
      <c r="BM8" s="46">
        <v>1500</v>
      </c>
      <c r="BN8" s="51"/>
      <c r="BO8" s="51"/>
      <c r="BP8" s="51"/>
      <c r="BQ8" s="51"/>
      <c r="BR8" s="51"/>
      <c r="BS8" s="51"/>
      <c r="BT8" s="51"/>
      <c r="BU8" s="51"/>
      <c r="BV8" s="51"/>
      <c r="BW8" s="51"/>
      <c r="BX8" s="51"/>
      <c r="CE8" s="257" t="s">
        <v>801</v>
      </c>
      <c r="CF8" s="142" t="s">
        <v>802</v>
      </c>
      <c r="CG8" s="51">
        <v>250</v>
      </c>
      <c r="CH8" s="51">
        <v>1500</v>
      </c>
      <c r="CI8" s="46"/>
      <c r="CJ8" s="46"/>
      <c r="CK8" s="46"/>
      <c r="CL8" s="46"/>
      <c r="CM8" s="46"/>
      <c r="CN8" s="46"/>
      <c r="CO8" s="46"/>
      <c r="CP8" s="46"/>
      <c r="CQ8" s="46"/>
      <c r="CR8" s="46"/>
      <c r="CS8" s="46"/>
      <c r="CY8" s="197"/>
      <c r="CZ8" s="197"/>
      <c r="DA8" s="3"/>
      <c r="DB8" s="3"/>
      <c r="DC8" s="46"/>
      <c r="DD8" s="46"/>
      <c r="DE8" s="46"/>
      <c r="DF8" s="46"/>
      <c r="DG8" s="46"/>
      <c r="DH8" s="46"/>
      <c r="DI8" s="46"/>
      <c r="DJ8" s="46"/>
      <c r="DK8" s="46"/>
      <c r="DL8" s="46"/>
      <c r="DM8" s="46"/>
    </row>
    <row r="9" spans="2:117" ht="18.75" customHeight="1" x14ac:dyDescent="0.25"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U9" s="141"/>
      <c r="V9" s="151"/>
      <c r="W9" s="51" t="s">
        <v>497</v>
      </c>
      <c r="X9" s="51" t="s">
        <v>1074</v>
      </c>
      <c r="Y9" s="46"/>
      <c r="Z9" s="46"/>
      <c r="AA9" s="46"/>
      <c r="AB9" s="46"/>
      <c r="AC9" s="46"/>
      <c r="AD9" s="46"/>
      <c r="AE9" s="46"/>
      <c r="AF9" s="46"/>
      <c r="AG9" s="46"/>
      <c r="AH9" s="46"/>
      <c r="AI9" s="46"/>
      <c r="AP9" s="141"/>
      <c r="AQ9" s="225"/>
      <c r="AR9" s="51" t="s">
        <v>497</v>
      </c>
      <c r="AS9" s="51" t="s">
        <v>497</v>
      </c>
      <c r="AT9" s="46"/>
      <c r="AU9" s="46"/>
      <c r="AV9" s="46"/>
      <c r="AW9" s="46"/>
      <c r="AX9" s="46"/>
      <c r="AY9" s="46"/>
      <c r="AZ9" s="46"/>
      <c r="BA9" s="46"/>
      <c r="BB9" s="46"/>
      <c r="BC9" s="46"/>
      <c r="BD9" s="46"/>
      <c r="BJ9" s="141"/>
      <c r="BK9" s="143"/>
      <c r="BL9" s="51" t="s">
        <v>1368</v>
      </c>
      <c r="BM9" s="51" t="s">
        <v>1368</v>
      </c>
      <c r="BN9" s="51"/>
      <c r="BO9" s="51"/>
      <c r="BP9" s="51"/>
      <c r="BQ9" s="51"/>
      <c r="BR9" s="51"/>
      <c r="BS9" s="51"/>
      <c r="BT9" s="51"/>
      <c r="BU9" s="51"/>
      <c r="BV9" s="51"/>
      <c r="BW9" s="51"/>
      <c r="BX9" s="51"/>
      <c r="CE9" s="258"/>
      <c r="CF9" s="143"/>
      <c r="CG9" s="51" t="s">
        <v>809</v>
      </c>
      <c r="CH9" s="51" t="s">
        <v>809</v>
      </c>
      <c r="CI9" s="46"/>
      <c r="CJ9" s="46"/>
      <c r="CK9" s="46"/>
      <c r="CL9" s="46"/>
      <c r="CM9" s="46"/>
      <c r="CN9" s="46"/>
      <c r="CO9" s="46"/>
      <c r="CP9" s="46"/>
      <c r="CQ9" s="46"/>
      <c r="CR9" s="46"/>
      <c r="CS9" s="46"/>
      <c r="CY9" s="140"/>
      <c r="CZ9" s="142"/>
      <c r="DA9" s="51"/>
      <c r="DB9" s="46"/>
      <c r="DC9" s="46"/>
      <c r="DD9" s="46"/>
      <c r="DE9" s="46"/>
      <c r="DF9" s="46"/>
      <c r="DG9" s="46"/>
      <c r="DH9" s="46"/>
      <c r="DI9" s="46"/>
      <c r="DJ9" s="46"/>
      <c r="DK9" s="46"/>
      <c r="DL9" s="46"/>
      <c r="DM9" s="46"/>
    </row>
    <row r="10" spans="2:117" ht="21" customHeight="1" x14ac:dyDescent="0.25">
      <c r="B10" s="140" t="s">
        <v>501</v>
      </c>
      <c r="C10" s="142" t="s">
        <v>503</v>
      </c>
      <c r="D10" s="51">
        <v>250</v>
      </c>
      <c r="E10" s="263" t="s">
        <v>1067</v>
      </c>
      <c r="F10" s="264"/>
      <c r="G10" s="264"/>
      <c r="H10" s="264"/>
      <c r="I10" s="264"/>
      <c r="J10" s="264"/>
      <c r="K10" s="264"/>
      <c r="L10" s="264"/>
      <c r="M10" s="264"/>
      <c r="N10" s="264"/>
      <c r="O10" s="264"/>
      <c r="P10" s="265"/>
      <c r="U10" s="259" t="s">
        <v>803</v>
      </c>
      <c r="V10" s="261" t="s">
        <v>1009</v>
      </c>
      <c r="W10" s="92" t="s">
        <v>512</v>
      </c>
      <c r="X10" s="78">
        <v>1500</v>
      </c>
      <c r="Y10" s="46"/>
      <c r="Z10" s="46"/>
      <c r="AA10" s="46"/>
      <c r="AB10" s="46"/>
      <c r="AC10" s="46"/>
      <c r="AD10" s="46"/>
      <c r="AE10" s="46"/>
      <c r="AF10" s="46"/>
      <c r="AG10" s="46"/>
      <c r="AH10" s="46"/>
      <c r="AI10" s="46"/>
      <c r="AP10" s="140" t="s">
        <v>501</v>
      </c>
      <c r="AQ10" s="250" t="s">
        <v>623</v>
      </c>
      <c r="AR10" s="51">
        <v>250</v>
      </c>
      <c r="AS10" s="46">
        <v>1500</v>
      </c>
      <c r="AT10" s="46"/>
      <c r="AU10" s="46"/>
      <c r="AV10" s="46"/>
      <c r="AW10" s="46"/>
      <c r="AX10" s="46"/>
      <c r="AY10" s="46"/>
      <c r="AZ10" s="46"/>
      <c r="BA10" s="46"/>
      <c r="BB10" s="46"/>
      <c r="BC10" s="46"/>
      <c r="BD10" s="46"/>
      <c r="BJ10" s="257"/>
      <c r="BK10" s="142"/>
      <c r="BL10" s="51"/>
      <c r="BM10" s="51"/>
      <c r="BN10" s="51"/>
      <c r="BO10" s="51"/>
      <c r="BP10" s="51"/>
      <c r="BQ10" s="51"/>
      <c r="BR10" s="51"/>
      <c r="BS10" s="51"/>
      <c r="BT10" s="51"/>
      <c r="BU10" s="51"/>
      <c r="BV10" s="51"/>
      <c r="BW10" s="51"/>
      <c r="BX10" s="51"/>
      <c r="CE10" s="257" t="s">
        <v>803</v>
      </c>
      <c r="CF10" s="142"/>
      <c r="CG10" s="51">
        <v>250</v>
      </c>
      <c r="CH10" s="51">
        <v>1500</v>
      </c>
      <c r="CI10" s="51"/>
      <c r="CJ10" s="51"/>
      <c r="CK10" s="51"/>
      <c r="CL10" s="51"/>
      <c r="CM10" s="51"/>
      <c r="CN10" s="51"/>
      <c r="CO10" s="51"/>
      <c r="CP10" s="51"/>
      <c r="CQ10" s="51"/>
      <c r="CR10" s="51"/>
      <c r="CS10" s="51"/>
      <c r="CY10" s="141"/>
      <c r="CZ10" s="143"/>
      <c r="DA10" s="51"/>
      <c r="DB10" s="51"/>
      <c r="DC10" s="46"/>
      <c r="DD10" s="46"/>
      <c r="DE10" s="46"/>
      <c r="DF10" s="46"/>
      <c r="DG10" s="46"/>
      <c r="DH10" s="46"/>
      <c r="DI10" s="46"/>
      <c r="DJ10" s="46"/>
      <c r="DK10" s="46"/>
      <c r="DL10" s="46"/>
      <c r="DM10" s="46"/>
    </row>
    <row r="11" spans="2:117" ht="18.75" x14ac:dyDescent="0.25">
      <c r="B11" s="141"/>
      <c r="C11" s="143"/>
      <c r="D11" s="51" t="s">
        <v>502</v>
      </c>
      <c r="E11" s="266"/>
      <c r="F11" s="267"/>
      <c r="G11" s="267"/>
      <c r="H11" s="267"/>
      <c r="I11" s="267"/>
      <c r="J11" s="267"/>
      <c r="K11" s="267"/>
      <c r="L11" s="267"/>
      <c r="M11" s="267"/>
      <c r="N11" s="267"/>
      <c r="O11" s="267"/>
      <c r="P11" s="268"/>
      <c r="U11" s="260"/>
      <c r="V11" s="262"/>
      <c r="W11" s="87"/>
      <c r="X11" s="51" t="s">
        <v>808</v>
      </c>
      <c r="Y11" s="46"/>
      <c r="Z11" s="46"/>
      <c r="AA11" s="46"/>
      <c r="AB11" s="46"/>
      <c r="AC11" s="46"/>
      <c r="AD11" s="46"/>
      <c r="AE11" s="46"/>
      <c r="AF11" s="46"/>
      <c r="AG11" s="46"/>
      <c r="AH11" s="46"/>
      <c r="AI11" s="46"/>
      <c r="AP11" s="141"/>
      <c r="AQ11" s="225"/>
      <c r="AR11" s="51" t="s">
        <v>502</v>
      </c>
      <c r="AS11" s="51" t="s">
        <v>502</v>
      </c>
      <c r="AT11" s="46"/>
      <c r="AU11" s="46"/>
      <c r="AV11" s="46"/>
      <c r="AW11" s="46"/>
      <c r="AX11" s="46"/>
      <c r="AY11" s="46"/>
      <c r="AZ11" s="46"/>
      <c r="BA11" s="46"/>
      <c r="BB11" s="46"/>
      <c r="BC11" s="46"/>
      <c r="BD11" s="46"/>
      <c r="BJ11" s="258"/>
      <c r="BK11" s="143"/>
      <c r="BL11" s="51"/>
      <c r="BM11" s="51"/>
      <c r="BN11" s="51"/>
      <c r="BO11" s="51"/>
      <c r="BP11" s="51"/>
      <c r="BQ11" s="51"/>
      <c r="BR11" s="51"/>
      <c r="BS11" s="51"/>
      <c r="BT11" s="51"/>
      <c r="BU11" s="51"/>
      <c r="BV11" s="51"/>
      <c r="BW11" s="51"/>
      <c r="BX11" s="51"/>
      <c r="CE11" s="258"/>
      <c r="CF11" s="143"/>
      <c r="CG11" s="51" t="s">
        <v>808</v>
      </c>
      <c r="CH11" s="51" t="s">
        <v>808</v>
      </c>
      <c r="CI11" s="51"/>
      <c r="CJ11" s="51"/>
      <c r="CK11" s="51"/>
      <c r="CL11" s="51"/>
      <c r="CM11" s="51"/>
      <c r="CN11" s="51"/>
      <c r="CO11" s="51"/>
      <c r="CP11" s="51"/>
      <c r="CQ11" s="51"/>
      <c r="CR11" s="51"/>
      <c r="CS11" s="51"/>
      <c r="CY11" s="140"/>
      <c r="CZ11" s="142"/>
      <c r="DA11" s="51"/>
      <c r="DB11" s="46"/>
      <c r="DC11" s="46"/>
      <c r="DD11" s="46"/>
      <c r="DE11" s="46"/>
      <c r="DF11" s="46"/>
      <c r="DG11" s="46"/>
      <c r="DH11" s="46"/>
      <c r="DI11" s="46"/>
      <c r="DJ11" s="46"/>
      <c r="DK11" s="46"/>
      <c r="DL11" s="46"/>
      <c r="DM11" s="46"/>
    </row>
    <row r="12" spans="2:117" ht="18.75" x14ac:dyDescent="0.25">
      <c r="B12" s="140"/>
      <c r="C12" s="142"/>
      <c r="D12" s="51"/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6"/>
      <c r="U12" s="150" t="s">
        <v>1071</v>
      </c>
      <c r="V12" s="150" t="s">
        <v>1072</v>
      </c>
      <c r="W12" s="2">
        <v>250</v>
      </c>
      <c r="X12" s="2">
        <v>1500</v>
      </c>
      <c r="Y12" s="46"/>
      <c r="Z12" s="46"/>
      <c r="AA12" s="46"/>
      <c r="AB12" s="46"/>
      <c r="AC12" s="46"/>
      <c r="AD12" s="46"/>
      <c r="AE12" s="46"/>
      <c r="AF12" s="46"/>
      <c r="AG12" s="46"/>
      <c r="AH12" s="46"/>
      <c r="AI12" s="46"/>
      <c r="AP12" s="140" t="s">
        <v>799</v>
      </c>
      <c r="AQ12" s="250"/>
      <c r="AR12" s="51">
        <v>250</v>
      </c>
      <c r="AS12" s="46">
        <v>1500</v>
      </c>
      <c r="AT12" s="46"/>
      <c r="AU12" s="46"/>
      <c r="AV12" s="46"/>
      <c r="AW12" s="46"/>
      <c r="AX12" s="46"/>
      <c r="AY12" s="46"/>
      <c r="AZ12" s="46"/>
      <c r="BA12" s="46"/>
      <c r="BB12" s="46"/>
      <c r="BC12" s="46"/>
      <c r="BD12" s="46"/>
      <c r="BJ12" s="257"/>
      <c r="BK12" s="142"/>
      <c r="BL12" s="51"/>
      <c r="BM12" s="51"/>
      <c r="BN12" s="51"/>
      <c r="BO12" s="51"/>
      <c r="BP12" s="51"/>
      <c r="BQ12" s="51"/>
      <c r="BR12" s="51"/>
      <c r="BS12" s="51"/>
      <c r="BT12" s="51"/>
      <c r="BU12" s="51"/>
      <c r="BV12" s="51"/>
      <c r="BW12" s="51"/>
      <c r="BX12" s="51"/>
      <c r="CE12" s="257" t="s">
        <v>804</v>
      </c>
      <c r="CF12" s="142"/>
      <c r="CG12" s="51">
        <v>250</v>
      </c>
      <c r="CH12" s="51"/>
      <c r="CI12" s="51"/>
      <c r="CJ12" s="51"/>
      <c r="CK12" s="51"/>
      <c r="CL12" s="51"/>
      <c r="CM12" s="51"/>
      <c r="CN12" s="51"/>
      <c r="CO12" s="51"/>
      <c r="CP12" s="51"/>
      <c r="CQ12" s="51"/>
      <c r="CR12" s="51"/>
      <c r="CS12" s="51"/>
      <c r="CY12" s="141"/>
      <c r="CZ12" s="143"/>
      <c r="DA12" s="51"/>
      <c r="DB12" s="46"/>
      <c r="DC12" s="46"/>
      <c r="DD12" s="46"/>
      <c r="DE12" s="46"/>
      <c r="DF12" s="46"/>
      <c r="DG12" s="46"/>
      <c r="DH12" s="46"/>
      <c r="DI12" s="46"/>
      <c r="DJ12" s="46"/>
      <c r="DK12" s="46"/>
      <c r="DL12" s="46"/>
      <c r="DM12" s="46"/>
    </row>
    <row r="13" spans="2:117" ht="18.75" x14ac:dyDescent="0.25">
      <c r="B13" s="141"/>
      <c r="C13" s="143"/>
      <c r="D13" s="51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U13" s="151"/>
      <c r="V13" s="151"/>
      <c r="W13" s="2" t="s">
        <v>1073</v>
      </c>
      <c r="X13" s="2" t="s">
        <v>1073</v>
      </c>
      <c r="Y13" s="46"/>
      <c r="Z13" s="46"/>
      <c r="AA13" s="46"/>
      <c r="AB13" s="46"/>
      <c r="AC13" s="46"/>
      <c r="AD13" s="46"/>
      <c r="AE13" s="46"/>
      <c r="AF13" s="46"/>
      <c r="AG13" s="46"/>
      <c r="AH13" s="46"/>
      <c r="AI13" s="46"/>
      <c r="AP13" s="141"/>
      <c r="AQ13" s="225"/>
      <c r="AR13" s="51" t="s">
        <v>800</v>
      </c>
      <c r="AS13" s="51" t="s">
        <v>800</v>
      </c>
      <c r="AT13" s="46"/>
      <c r="AU13" s="46"/>
      <c r="AV13" s="46"/>
      <c r="AW13" s="46"/>
      <c r="AX13" s="46"/>
      <c r="AY13" s="46"/>
      <c r="AZ13" s="46"/>
      <c r="BA13" s="46"/>
      <c r="BB13" s="46"/>
      <c r="BC13" s="46"/>
      <c r="BD13" s="46"/>
      <c r="BJ13" s="258"/>
      <c r="BK13" s="143"/>
      <c r="BL13" s="51"/>
      <c r="BM13" s="51"/>
      <c r="BN13" s="51"/>
      <c r="BO13" s="51"/>
      <c r="BP13" s="51"/>
      <c r="BQ13" s="51"/>
      <c r="BR13" s="51"/>
      <c r="BS13" s="51"/>
      <c r="BT13" s="51"/>
      <c r="BU13" s="51"/>
      <c r="BV13" s="51"/>
      <c r="BW13" s="51"/>
      <c r="BX13" s="51"/>
      <c r="CE13" s="258"/>
      <c r="CF13" s="143"/>
      <c r="CG13" s="51" t="s">
        <v>807</v>
      </c>
      <c r="CH13" s="51"/>
      <c r="CI13" s="51"/>
      <c r="CJ13" s="51"/>
      <c r="CK13" s="51"/>
      <c r="CL13" s="51"/>
      <c r="CM13" s="51"/>
      <c r="CN13" s="51"/>
      <c r="CO13" s="51"/>
      <c r="CP13" s="51"/>
      <c r="CQ13" s="51"/>
      <c r="CR13" s="51"/>
      <c r="CS13" s="51"/>
      <c r="CY13" s="140"/>
      <c r="CZ13" s="142"/>
      <c r="DA13" s="51"/>
      <c r="DB13" s="46"/>
      <c r="DC13" s="46"/>
      <c r="DD13" s="46"/>
      <c r="DE13" s="46"/>
      <c r="DF13" s="46"/>
      <c r="DG13" s="46"/>
      <c r="DH13" s="46"/>
      <c r="DI13" s="46"/>
      <c r="DJ13" s="46"/>
      <c r="DK13" s="46"/>
      <c r="DL13" s="46"/>
      <c r="DM13" s="46"/>
    </row>
    <row r="14" spans="2:117" ht="18.75" x14ac:dyDescent="0.25">
      <c r="B14" s="140"/>
      <c r="C14" s="142"/>
      <c r="D14" s="51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U14" s="257" t="s">
        <v>1075</v>
      </c>
      <c r="V14" s="142" t="s">
        <v>1076</v>
      </c>
      <c r="W14" s="51">
        <v>250</v>
      </c>
      <c r="X14" s="51">
        <v>1500</v>
      </c>
      <c r="Y14" s="46"/>
      <c r="Z14" s="46"/>
      <c r="AA14" s="46"/>
      <c r="AB14" s="46"/>
      <c r="AC14" s="46"/>
      <c r="AD14" s="46"/>
      <c r="AE14" s="46"/>
      <c r="AF14" s="46"/>
      <c r="AG14" s="46"/>
      <c r="AH14" s="46"/>
      <c r="AI14" s="46"/>
      <c r="AP14" s="257" t="s">
        <v>803</v>
      </c>
      <c r="AQ14" s="142"/>
      <c r="AR14" s="51">
        <v>250</v>
      </c>
      <c r="AS14" s="51">
        <v>1500</v>
      </c>
      <c r="AT14" s="46"/>
      <c r="AU14" s="46"/>
      <c r="AV14" s="46"/>
      <c r="AW14" s="46"/>
      <c r="AX14" s="46"/>
      <c r="AY14" s="46"/>
      <c r="AZ14" s="46"/>
      <c r="BA14" s="46"/>
      <c r="BB14" s="46"/>
      <c r="BC14" s="46"/>
      <c r="BD14" s="46"/>
      <c r="BJ14" s="257"/>
      <c r="BK14" s="142"/>
      <c r="BL14" s="51"/>
      <c r="BM14" s="51"/>
      <c r="BN14" s="51"/>
      <c r="BO14" s="51"/>
      <c r="BP14" s="51"/>
      <c r="BQ14" s="51"/>
      <c r="BR14" s="51"/>
      <c r="BS14" s="51"/>
      <c r="BT14" s="51"/>
      <c r="BU14" s="51"/>
      <c r="BV14" s="51"/>
      <c r="BW14" s="51"/>
      <c r="BX14" s="51"/>
      <c r="CE14" s="257" t="s">
        <v>854</v>
      </c>
      <c r="CF14" s="142" t="s">
        <v>855</v>
      </c>
      <c r="CG14" s="51">
        <v>250</v>
      </c>
      <c r="CH14" s="51">
        <v>1500</v>
      </c>
      <c r="CI14" s="51"/>
      <c r="CJ14" s="51"/>
      <c r="CK14" s="51"/>
      <c r="CL14" s="51"/>
      <c r="CM14" s="51"/>
      <c r="CN14" s="51"/>
      <c r="CO14" s="51"/>
      <c r="CP14" s="51"/>
      <c r="CQ14" s="51"/>
      <c r="CR14" s="51"/>
      <c r="CS14" s="51"/>
      <c r="CY14" s="141"/>
      <c r="CZ14" s="143"/>
      <c r="DA14" s="51"/>
      <c r="DB14" s="46"/>
      <c r="DC14" s="46"/>
      <c r="DD14" s="46"/>
      <c r="DE14" s="46"/>
      <c r="DF14" s="46"/>
      <c r="DG14" s="46"/>
      <c r="DH14" s="46"/>
      <c r="DI14" s="46"/>
      <c r="DJ14" s="46"/>
      <c r="DK14" s="46"/>
      <c r="DL14" s="46"/>
      <c r="DM14" s="46"/>
    </row>
    <row r="15" spans="2:117" ht="18.75" x14ac:dyDescent="0.25">
      <c r="B15" s="141"/>
      <c r="C15" s="143"/>
      <c r="D15" s="51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U15" s="258"/>
      <c r="V15" s="143"/>
      <c r="W15" s="51" t="s">
        <v>1083</v>
      </c>
      <c r="X15" s="51" t="s">
        <v>1083</v>
      </c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P15" s="258"/>
      <c r="AQ15" s="143"/>
      <c r="AR15" s="51" t="s">
        <v>808</v>
      </c>
      <c r="AS15" s="51" t="s">
        <v>808</v>
      </c>
      <c r="AT15" s="46"/>
      <c r="AU15" s="46"/>
      <c r="AV15" s="46"/>
      <c r="AW15" s="46"/>
      <c r="AX15" s="46"/>
      <c r="AY15" s="46"/>
      <c r="AZ15" s="46"/>
      <c r="BA15" s="46"/>
      <c r="BB15" s="46"/>
      <c r="BC15" s="46"/>
      <c r="BD15" s="46"/>
      <c r="BJ15" s="258"/>
      <c r="BK15" s="143"/>
      <c r="BL15" s="51"/>
      <c r="BM15" s="51"/>
      <c r="BN15" s="51"/>
      <c r="BO15" s="51"/>
      <c r="BP15" s="51"/>
      <c r="BQ15" s="51"/>
      <c r="BR15" s="51"/>
      <c r="BS15" s="51"/>
      <c r="BT15" s="51"/>
      <c r="BU15" s="51"/>
      <c r="BV15" s="51"/>
      <c r="BW15" s="51"/>
      <c r="BX15" s="51"/>
      <c r="CE15" s="258"/>
      <c r="CF15" s="143"/>
      <c r="CG15" s="51" t="s">
        <v>856</v>
      </c>
      <c r="CH15" s="51" t="s">
        <v>856</v>
      </c>
      <c r="CI15" s="51"/>
      <c r="CJ15" s="51"/>
      <c r="CK15" s="51"/>
      <c r="CL15" s="51"/>
      <c r="CM15" s="51"/>
      <c r="CN15" s="51"/>
      <c r="CO15" s="51"/>
      <c r="CP15" s="51"/>
      <c r="CQ15" s="51"/>
      <c r="CR15" s="51"/>
      <c r="CS15" s="51"/>
      <c r="CY15" s="140"/>
      <c r="CZ15" s="142"/>
      <c r="DA15" s="51"/>
      <c r="DB15" s="46"/>
      <c r="DC15" s="46"/>
      <c r="DD15" s="46"/>
      <c r="DE15" s="46"/>
      <c r="DF15" s="46"/>
      <c r="DG15" s="46"/>
      <c r="DH15" s="46"/>
      <c r="DI15" s="46"/>
      <c r="DJ15" s="46"/>
      <c r="DK15" s="46"/>
      <c r="DL15" s="46"/>
      <c r="DM15" s="46"/>
    </row>
    <row r="16" spans="2:117" ht="18.75" x14ac:dyDescent="0.25">
      <c r="B16" s="140"/>
      <c r="C16" s="142"/>
      <c r="D16" s="51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U16" s="257" t="s">
        <v>1077</v>
      </c>
      <c r="V16" s="142" t="s">
        <v>1078</v>
      </c>
      <c r="W16" s="51">
        <v>250</v>
      </c>
      <c r="X16" s="51">
        <v>1500</v>
      </c>
      <c r="Y16" s="46"/>
      <c r="Z16" s="46"/>
      <c r="AA16" s="46"/>
      <c r="AB16" s="46"/>
      <c r="AC16" s="46"/>
      <c r="AD16" s="46"/>
      <c r="AE16" s="46"/>
      <c r="AF16" s="46"/>
      <c r="AG16" s="46"/>
      <c r="AH16" s="46"/>
      <c r="AI16" s="46"/>
      <c r="AP16" s="140" t="s">
        <v>917</v>
      </c>
      <c r="AQ16" s="250" t="s">
        <v>918</v>
      </c>
      <c r="AR16" s="51">
        <v>250</v>
      </c>
      <c r="AS16" s="46">
        <v>1500</v>
      </c>
      <c r="AT16" s="46"/>
      <c r="AU16" s="46"/>
      <c r="AV16" s="46"/>
      <c r="AW16" s="46"/>
      <c r="AX16" s="46"/>
      <c r="AY16" s="46"/>
      <c r="AZ16" s="46"/>
      <c r="BA16" s="46"/>
      <c r="BB16" s="46"/>
      <c r="BC16" s="46"/>
      <c r="BD16" s="46"/>
      <c r="BJ16" s="257"/>
      <c r="BK16" s="142"/>
      <c r="BL16" s="30"/>
      <c r="BM16" s="51"/>
      <c r="BN16" s="51"/>
      <c r="BO16" s="51"/>
      <c r="BP16" s="51"/>
      <c r="BQ16" s="51"/>
      <c r="BR16" s="51"/>
      <c r="BS16" s="51"/>
      <c r="BT16" s="51"/>
      <c r="BU16" s="51"/>
      <c r="BV16" s="51"/>
      <c r="BW16" s="51"/>
      <c r="BX16" s="51"/>
      <c r="CE16" s="257" t="s">
        <v>944</v>
      </c>
      <c r="CF16" s="142" t="s">
        <v>946</v>
      </c>
      <c r="CG16" s="51">
        <v>250</v>
      </c>
      <c r="CH16" s="51">
        <v>1500</v>
      </c>
      <c r="CI16" s="51"/>
      <c r="CJ16" s="51"/>
      <c r="CK16" s="51"/>
      <c r="CL16" s="51"/>
      <c r="CM16" s="51"/>
      <c r="CN16" s="51"/>
      <c r="CO16" s="51"/>
      <c r="CP16" s="51"/>
      <c r="CQ16" s="51"/>
      <c r="CR16" s="51"/>
      <c r="CS16" s="51"/>
      <c r="CY16" s="141"/>
      <c r="CZ16" s="143"/>
      <c r="DA16" s="51"/>
      <c r="DB16" s="46"/>
      <c r="DC16" s="46"/>
      <c r="DD16" s="46"/>
      <c r="DE16" s="46"/>
      <c r="DF16" s="46"/>
      <c r="DG16" s="46"/>
      <c r="DH16" s="46"/>
      <c r="DI16" s="46"/>
      <c r="DJ16" s="46"/>
      <c r="DK16" s="46"/>
      <c r="DL16" s="46"/>
      <c r="DM16" s="46"/>
    </row>
    <row r="17" spans="2:117" ht="18.75" x14ac:dyDescent="0.25">
      <c r="B17" s="141"/>
      <c r="C17" s="143"/>
      <c r="D17" s="51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U17" s="258"/>
      <c r="V17" s="143"/>
      <c r="W17" s="51" t="s">
        <v>1082</v>
      </c>
      <c r="X17" s="51" t="s">
        <v>1082</v>
      </c>
      <c r="Y17" s="46"/>
      <c r="Z17" s="46"/>
      <c r="AA17" s="46"/>
      <c r="AB17" s="46"/>
      <c r="AC17" s="46"/>
      <c r="AD17" s="46"/>
      <c r="AE17" s="46"/>
      <c r="AF17" s="46"/>
      <c r="AG17" s="46"/>
      <c r="AH17" s="46"/>
      <c r="AI17" s="46"/>
      <c r="AP17" s="141"/>
      <c r="AQ17" s="225"/>
      <c r="AR17" s="84" t="s">
        <v>919</v>
      </c>
      <c r="AS17" s="84" t="s">
        <v>919</v>
      </c>
      <c r="AT17" s="46"/>
      <c r="AU17" s="46"/>
      <c r="AV17" s="46"/>
      <c r="AW17" s="46"/>
      <c r="AX17" s="46"/>
      <c r="AY17" s="46"/>
      <c r="AZ17" s="46"/>
      <c r="BA17" s="46"/>
      <c r="BB17" s="46"/>
      <c r="BC17" s="46"/>
      <c r="BD17" s="46"/>
      <c r="BJ17" s="258"/>
      <c r="BK17" s="143"/>
      <c r="BL17" s="30"/>
      <c r="BM17" s="51"/>
      <c r="BN17" s="51"/>
      <c r="BO17" s="51"/>
      <c r="BP17" s="51"/>
      <c r="BQ17" s="51"/>
      <c r="BR17" s="51"/>
      <c r="BS17" s="51"/>
      <c r="BT17" s="51"/>
      <c r="BU17" s="51"/>
      <c r="BV17" s="51"/>
      <c r="BW17" s="51"/>
      <c r="BX17" s="51"/>
      <c r="CE17" s="258"/>
      <c r="CF17" s="143"/>
      <c r="CG17" s="51" t="s">
        <v>947</v>
      </c>
      <c r="CH17" s="51" t="s">
        <v>947</v>
      </c>
      <c r="CI17" s="51"/>
      <c r="CJ17" s="51"/>
      <c r="CK17" s="51"/>
      <c r="CL17" s="51"/>
      <c r="CM17" s="51"/>
      <c r="CN17" s="51"/>
      <c r="CO17" s="51"/>
      <c r="CP17" s="51"/>
      <c r="CQ17" s="51"/>
      <c r="CR17" s="51"/>
      <c r="CS17" s="51"/>
      <c r="CY17" s="140"/>
      <c r="CZ17" s="142"/>
      <c r="DA17" s="30"/>
      <c r="DB17" s="46"/>
      <c r="DC17" s="46"/>
      <c r="DD17" s="46"/>
      <c r="DE17" s="46"/>
      <c r="DF17" s="46"/>
      <c r="DG17" s="46"/>
      <c r="DH17" s="46"/>
      <c r="DI17" s="46"/>
      <c r="DJ17" s="46"/>
      <c r="DK17" s="46"/>
      <c r="DL17" s="46"/>
      <c r="DM17" s="46"/>
    </row>
    <row r="18" spans="2:117" ht="18.75" x14ac:dyDescent="0.25">
      <c r="B18" s="140"/>
      <c r="C18" s="142"/>
      <c r="D18" s="30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U18" s="257" t="s">
        <v>1079</v>
      </c>
      <c r="V18" s="142" t="s">
        <v>1080</v>
      </c>
      <c r="W18" s="51">
        <v>250</v>
      </c>
      <c r="X18" s="51">
        <v>1500</v>
      </c>
      <c r="Y18" s="46"/>
      <c r="Z18" s="46"/>
      <c r="AA18" s="46"/>
      <c r="AB18" s="46"/>
      <c r="AC18" s="46"/>
      <c r="AD18" s="46"/>
      <c r="AE18" s="46"/>
      <c r="AF18" s="46"/>
      <c r="AG18" s="46"/>
      <c r="AH18" s="46"/>
      <c r="AI18" s="46"/>
      <c r="AP18" s="257" t="s">
        <v>944</v>
      </c>
      <c r="AQ18" s="142" t="s">
        <v>946</v>
      </c>
      <c r="AR18" s="51">
        <v>250</v>
      </c>
      <c r="AS18" s="51">
        <v>1500</v>
      </c>
      <c r="AT18" s="46"/>
      <c r="AU18" s="46"/>
      <c r="AV18" s="46"/>
      <c r="AW18" s="46"/>
      <c r="AX18" s="46"/>
      <c r="AY18" s="46"/>
      <c r="AZ18" s="46"/>
      <c r="BA18" s="46"/>
      <c r="BB18" s="46"/>
      <c r="BC18" s="46"/>
      <c r="BD18" s="46"/>
      <c r="BJ18" s="257"/>
      <c r="BK18" s="142"/>
      <c r="BL18" s="51"/>
      <c r="BM18" s="51"/>
      <c r="BN18" s="51"/>
      <c r="BO18" s="51"/>
      <c r="BP18" s="51"/>
      <c r="BQ18" s="51"/>
      <c r="BR18" s="51"/>
      <c r="BS18" s="51"/>
      <c r="BT18" s="51"/>
      <c r="BU18" s="51"/>
      <c r="BV18" s="51"/>
      <c r="BW18" s="51"/>
      <c r="BX18" s="51"/>
      <c r="CE18" s="257" t="s">
        <v>968</v>
      </c>
      <c r="CF18" s="142" t="s">
        <v>1021</v>
      </c>
      <c r="CG18" s="51">
        <v>250</v>
      </c>
      <c r="CH18" s="51">
        <v>1500</v>
      </c>
      <c r="CI18" s="51"/>
      <c r="CJ18" s="51"/>
      <c r="CK18" s="51"/>
      <c r="CL18" s="51"/>
      <c r="CM18" s="51"/>
      <c r="CN18" s="51"/>
      <c r="CO18" s="51"/>
      <c r="CP18" s="51"/>
      <c r="CQ18" s="51"/>
      <c r="CR18" s="51"/>
      <c r="CS18" s="51"/>
      <c r="CY18" s="141"/>
      <c r="CZ18" s="143"/>
      <c r="DA18" s="30"/>
      <c r="DB18" s="46"/>
      <c r="DC18" s="46"/>
      <c r="DD18" s="46"/>
      <c r="DE18" s="46"/>
      <c r="DF18" s="46"/>
      <c r="DG18" s="46"/>
      <c r="DH18" s="46"/>
      <c r="DI18" s="46"/>
      <c r="DJ18" s="46"/>
      <c r="DK18" s="46"/>
      <c r="DL18" s="46"/>
      <c r="DM18" s="46"/>
    </row>
    <row r="19" spans="2:117" ht="18.75" x14ac:dyDescent="0.25">
      <c r="B19" s="141"/>
      <c r="C19" s="143"/>
      <c r="D19" s="30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U19" s="258"/>
      <c r="V19" s="143"/>
      <c r="W19" s="51" t="s">
        <v>1081</v>
      </c>
      <c r="X19" s="51" t="s">
        <v>1084</v>
      </c>
      <c r="Y19" s="46"/>
      <c r="Z19" s="46"/>
      <c r="AA19" s="46"/>
      <c r="AB19" s="46"/>
      <c r="AC19" s="46"/>
      <c r="AD19" s="46"/>
      <c r="AE19" s="46"/>
      <c r="AF19" s="46"/>
      <c r="AG19" s="46"/>
      <c r="AH19" s="46"/>
      <c r="AI19" s="46"/>
      <c r="AP19" s="258"/>
      <c r="AQ19" s="143"/>
      <c r="AR19" s="51" t="s">
        <v>947</v>
      </c>
      <c r="AS19" s="51" t="s">
        <v>947</v>
      </c>
      <c r="AT19" s="46"/>
      <c r="AU19" s="46"/>
      <c r="AV19" s="46"/>
      <c r="AW19" s="46"/>
      <c r="AX19" s="46"/>
      <c r="AY19" s="46"/>
      <c r="AZ19" s="46"/>
      <c r="BA19" s="46"/>
      <c r="BB19" s="46"/>
      <c r="BC19" s="46"/>
      <c r="BD19" s="46"/>
      <c r="BJ19" s="258"/>
      <c r="BK19" s="143"/>
      <c r="BL19" s="51"/>
      <c r="BM19" s="51"/>
      <c r="BN19" s="51"/>
      <c r="BO19" s="51"/>
      <c r="BP19" s="51"/>
      <c r="BQ19" s="51"/>
      <c r="BR19" s="51"/>
      <c r="BS19" s="51"/>
      <c r="BT19" s="51"/>
      <c r="BU19" s="51"/>
      <c r="BV19" s="51"/>
      <c r="BW19" s="51"/>
      <c r="BX19" s="51"/>
      <c r="CE19" s="258"/>
      <c r="CF19" s="143"/>
      <c r="CG19" s="51" t="s">
        <v>947</v>
      </c>
      <c r="CH19" s="51" t="s">
        <v>947</v>
      </c>
      <c r="CI19" s="51"/>
      <c r="CJ19" s="51"/>
      <c r="CK19" s="51"/>
      <c r="CL19" s="51"/>
      <c r="CM19" s="51"/>
      <c r="CN19" s="51"/>
      <c r="CO19" s="51"/>
      <c r="CP19" s="51"/>
      <c r="CQ19" s="51"/>
      <c r="CR19" s="51"/>
      <c r="CS19" s="51"/>
      <c r="CY19" s="140"/>
      <c r="CZ19" s="142"/>
      <c r="DA19" s="51"/>
      <c r="DB19" s="46"/>
      <c r="DC19" s="46"/>
      <c r="DD19" s="46"/>
      <c r="DE19" s="46"/>
      <c r="DF19" s="46"/>
      <c r="DG19" s="46"/>
      <c r="DH19" s="46"/>
      <c r="DI19" s="46"/>
      <c r="DJ19" s="46"/>
      <c r="DK19" s="46"/>
      <c r="DL19" s="46"/>
      <c r="DM19" s="46"/>
    </row>
    <row r="20" spans="2:117" ht="18.75" x14ac:dyDescent="0.25">
      <c r="B20" s="140"/>
      <c r="C20" s="142"/>
      <c r="D20" s="51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U20" s="140" t="s">
        <v>1289</v>
      </c>
      <c r="V20" s="250"/>
      <c r="W20" s="51">
        <v>250</v>
      </c>
      <c r="X20" s="46">
        <v>1500</v>
      </c>
      <c r="Y20" s="46"/>
      <c r="Z20" s="46"/>
      <c r="AA20" s="46"/>
      <c r="AB20" s="46"/>
      <c r="AC20" s="46"/>
      <c r="AD20" s="46"/>
      <c r="AE20" s="46"/>
      <c r="AF20" s="46"/>
      <c r="AG20" s="46"/>
      <c r="AH20" s="46"/>
      <c r="AI20" s="46"/>
      <c r="AP20" s="140" t="s">
        <v>1289</v>
      </c>
      <c r="AQ20" s="250"/>
      <c r="AR20" s="51">
        <v>250</v>
      </c>
      <c r="AS20" s="46">
        <v>1500</v>
      </c>
      <c r="AT20" s="46"/>
      <c r="AU20" s="46"/>
      <c r="AV20" s="46"/>
      <c r="AW20" s="46"/>
      <c r="AX20" s="46"/>
      <c r="AY20" s="46"/>
      <c r="AZ20" s="46"/>
      <c r="BA20" s="46"/>
      <c r="BB20" s="46"/>
      <c r="BC20" s="46"/>
      <c r="BD20" s="46"/>
      <c r="BJ20" s="257"/>
      <c r="BK20" s="142"/>
      <c r="BL20" s="51"/>
      <c r="BM20" s="51"/>
      <c r="BN20" s="51"/>
      <c r="BO20" s="51"/>
      <c r="BP20" s="51"/>
      <c r="BQ20" s="51"/>
      <c r="BR20" s="51"/>
      <c r="BS20" s="51"/>
      <c r="BT20" s="51"/>
      <c r="BU20" s="51"/>
      <c r="BV20" s="51"/>
      <c r="BW20" s="51"/>
      <c r="BX20" s="51"/>
      <c r="CE20" s="257" t="s">
        <v>1172</v>
      </c>
      <c r="CF20" s="142"/>
      <c r="CG20" s="51">
        <v>250</v>
      </c>
      <c r="CH20" s="51">
        <v>1500</v>
      </c>
      <c r="CI20" s="51"/>
      <c r="CJ20" s="51"/>
      <c r="CK20" s="51"/>
      <c r="CL20" s="51"/>
      <c r="CM20" s="51"/>
      <c r="CN20" s="51"/>
      <c r="CO20" s="51"/>
      <c r="CP20" s="51"/>
      <c r="CQ20" s="51"/>
      <c r="CR20" s="51"/>
      <c r="CS20" s="51"/>
      <c r="CY20" s="141"/>
      <c r="CZ20" s="143"/>
      <c r="DA20" s="51"/>
      <c r="DB20" s="46"/>
      <c r="DC20" s="46"/>
      <c r="DD20" s="46"/>
      <c r="DE20" s="46"/>
      <c r="DF20" s="46"/>
      <c r="DG20" s="46"/>
      <c r="DH20" s="46"/>
      <c r="DI20" s="46"/>
      <c r="DJ20" s="46"/>
      <c r="DK20" s="46"/>
      <c r="DL20" s="46"/>
      <c r="DM20" s="46"/>
    </row>
    <row r="21" spans="2:117" ht="18.75" x14ac:dyDescent="0.25">
      <c r="B21" s="141"/>
      <c r="C21" s="143"/>
      <c r="D21" s="51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U21" s="141"/>
      <c r="V21" s="225"/>
      <c r="W21" s="51" t="s">
        <v>1290</v>
      </c>
      <c r="X21" s="51" t="s">
        <v>1290</v>
      </c>
      <c r="Y21" s="46"/>
      <c r="Z21" s="46"/>
      <c r="AA21" s="46"/>
      <c r="AB21" s="46"/>
      <c r="AC21" s="46"/>
      <c r="AD21" s="46"/>
      <c r="AE21" s="46"/>
      <c r="AF21" s="46"/>
      <c r="AG21" s="46"/>
      <c r="AH21" s="46"/>
      <c r="AI21" s="46"/>
      <c r="AP21" s="141"/>
      <c r="AQ21" s="225"/>
      <c r="AR21" s="51" t="s">
        <v>1290</v>
      </c>
      <c r="AS21" s="51" t="s">
        <v>1290</v>
      </c>
      <c r="AT21" s="46"/>
      <c r="AU21" s="46"/>
      <c r="AV21" s="46"/>
      <c r="AW21" s="46"/>
      <c r="AX21" s="46"/>
      <c r="AY21" s="46"/>
      <c r="AZ21" s="46"/>
      <c r="BA21" s="46"/>
      <c r="BB21" s="46"/>
      <c r="BC21" s="46"/>
      <c r="BD21" s="46"/>
      <c r="BJ21" s="258"/>
      <c r="BK21" s="143"/>
      <c r="BL21" s="51"/>
      <c r="BM21" s="51"/>
      <c r="BN21" s="51"/>
      <c r="BO21" s="51"/>
      <c r="BP21" s="51"/>
      <c r="BQ21" s="51"/>
      <c r="BR21" s="51"/>
      <c r="BS21" s="51"/>
      <c r="BT21" s="51"/>
      <c r="BU21" s="51"/>
      <c r="BV21" s="51"/>
      <c r="BW21" s="51"/>
      <c r="BX21" s="51"/>
      <c r="CE21" s="258"/>
      <c r="CF21" s="143"/>
      <c r="CG21" s="51" t="s">
        <v>1173</v>
      </c>
      <c r="CH21" s="51" t="s">
        <v>1173</v>
      </c>
      <c r="CI21" s="51"/>
      <c r="CJ21" s="51"/>
      <c r="CK21" s="51"/>
      <c r="CL21" s="51"/>
      <c r="CM21" s="51"/>
      <c r="CN21" s="51"/>
      <c r="CO21" s="51"/>
      <c r="CP21" s="51"/>
      <c r="CQ21" s="51"/>
      <c r="CR21" s="51"/>
      <c r="CS21" s="51"/>
      <c r="CY21" s="140"/>
      <c r="CZ21" s="142"/>
      <c r="DA21" s="51"/>
      <c r="DB21" s="46"/>
      <c r="DC21" s="46"/>
      <c r="DD21" s="46"/>
      <c r="DE21" s="46"/>
      <c r="DF21" s="46"/>
      <c r="DG21" s="46"/>
      <c r="DH21" s="46"/>
      <c r="DI21" s="46"/>
      <c r="DJ21" s="46"/>
      <c r="DK21" s="46"/>
      <c r="DL21" s="46"/>
      <c r="DM21" s="46"/>
    </row>
    <row r="22" spans="2:117" ht="18.75" x14ac:dyDescent="0.25">
      <c r="B22" s="140"/>
      <c r="C22" s="142"/>
      <c r="D22" s="51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U22" s="140"/>
      <c r="V22" s="250"/>
      <c r="W22" s="51"/>
      <c r="X22" s="46"/>
      <c r="Y22" s="46"/>
      <c r="Z22" s="46"/>
      <c r="AA22" s="46"/>
      <c r="AB22" s="46"/>
      <c r="AC22" s="46"/>
      <c r="AD22" s="46"/>
      <c r="AE22" s="46"/>
      <c r="AF22" s="46"/>
      <c r="AG22" s="46"/>
      <c r="AH22" s="46"/>
      <c r="AI22" s="46"/>
      <c r="AP22" s="140" t="s">
        <v>1079</v>
      </c>
      <c r="AQ22" s="250"/>
      <c r="AR22" s="51">
        <v>250</v>
      </c>
      <c r="AS22" s="46">
        <v>1500</v>
      </c>
      <c r="AT22" s="46"/>
      <c r="AU22" s="46"/>
      <c r="AV22" s="46"/>
      <c r="AW22" s="46"/>
      <c r="AX22" s="46"/>
      <c r="AY22" s="46"/>
      <c r="AZ22" s="46"/>
      <c r="BA22" s="46"/>
      <c r="BB22" s="46"/>
      <c r="BC22" s="46"/>
      <c r="BD22" s="46"/>
      <c r="BJ22" s="257"/>
      <c r="BK22" s="142"/>
      <c r="BL22" s="51"/>
      <c r="BM22" s="51"/>
      <c r="BN22" s="51"/>
      <c r="BO22" s="51"/>
      <c r="BP22" s="51"/>
      <c r="BQ22" s="51"/>
      <c r="BR22" s="51"/>
      <c r="BS22" s="51"/>
      <c r="BT22" s="51"/>
      <c r="BU22" s="51"/>
      <c r="BV22" s="51"/>
      <c r="BW22" s="51"/>
      <c r="BX22" s="51"/>
      <c r="CE22" s="257" t="s">
        <v>1174</v>
      </c>
      <c r="CF22" s="142"/>
      <c r="CG22" s="51">
        <v>250</v>
      </c>
      <c r="CH22" s="51">
        <v>1500</v>
      </c>
      <c r="CI22" s="51"/>
      <c r="CJ22" s="51"/>
      <c r="CK22" s="51"/>
      <c r="CL22" s="51"/>
      <c r="CM22" s="51"/>
      <c r="CN22" s="51"/>
      <c r="CO22" s="51"/>
      <c r="CP22" s="51"/>
      <c r="CQ22" s="51"/>
      <c r="CR22" s="51"/>
      <c r="CS22" s="51"/>
      <c r="CY22" s="141"/>
      <c r="CZ22" s="143"/>
      <c r="DA22" s="51"/>
      <c r="DB22" s="46"/>
      <c r="DC22" s="46"/>
      <c r="DD22" s="46"/>
      <c r="DE22" s="46"/>
      <c r="DF22" s="46"/>
      <c r="DG22" s="46"/>
      <c r="DH22" s="46"/>
      <c r="DI22" s="46"/>
      <c r="DJ22" s="46"/>
      <c r="DK22" s="46"/>
      <c r="DL22" s="46"/>
      <c r="DM22" s="46"/>
    </row>
    <row r="23" spans="2:117" ht="18.75" x14ac:dyDescent="0.25">
      <c r="B23" s="141"/>
      <c r="C23" s="143"/>
      <c r="D23" s="51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U23" s="141"/>
      <c r="V23" s="225"/>
      <c r="W23" s="51"/>
      <c r="X23" s="46"/>
      <c r="Y23" s="46"/>
      <c r="Z23" s="46"/>
      <c r="AA23" s="46"/>
      <c r="AB23" s="46"/>
      <c r="AC23" s="46"/>
      <c r="AD23" s="46"/>
      <c r="AE23" s="46"/>
      <c r="AF23" s="46"/>
      <c r="AG23" s="46"/>
      <c r="AH23" s="46"/>
      <c r="AI23" s="46"/>
      <c r="AP23" s="141"/>
      <c r="AQ23" s="225"/>
      <c r="AR23" s="51" t="s">
        <v>1331</v>
      </c>
      <c r="AS23" s="97" t="s">
        <v>1331</v>
      </c>
      <c r="AT23" s="46"/>
      <c r="AU23" s="46"/>
      <c r="AV23" s="46"/>
      <c r="AW23" s="46"/>
      <c r="AX23" s="46"/>
      <c r="AY23" s="46"/>
      <c r="AZ23" s="46"/>
      <c r="BA23" s="46"/>
      <c r="BB23" s="46"/>
      <c r="BC23" s="46"/>
      <c r="BD23" s="46"/>
      <c r="BJ23" s="258"/>
      <c r="BK23" s="143"/>
      <c r="BL23" s="51"/>
      <c r="BM23" s="51"/>
      <c r="BN23" s="51"/>
      <c r="BO23" s="51"/>
      <c r="BP23" s="51"/>
      <c r="BQ23" s="51"/>
      <c r="BR23" s="51"/>
      <c r="BS23" s="51"/>
      <c r="BT23" s="51"/>
      <c r="BU23" s="51"/>
      <c r="BV23" s="51"/>
      <c r="BW23" s="51"/>
      <c r="BX23" s="51"/>
      <c r="CE23" s="258"/>
      <c r="CF23" s="143"/>
      <c r="CG23" s="51" t="s">
        <v>1175</v>
      </c>
      <c r="CH23" s="51" t="s">
        <v>1175</v>
      </c>
      <c r="CI23" s="51"/>
      <c r="CJ23" s="51"/>
      <c r="CK23" s="51"/>
      <c r="CL23" s="51"/>
      <c r="CM23" s="51"/>
      <c r="CN23" s="51"/>
      <c r="CO23" s="51"/>
      <c r="CP23" s="51"/>
      <c r="CQ23" s="51"/>
      <c r="CR23" s="51"/>
      <c r="CS23" s="51"/>
      <c r="CY23" s="140"/>
      <c r="CZ23" s="142"/>
      <c r="DA23" s="51"/>
      <c r="DB23" s="46"/>
      <c r="DC23" s="46"/>
      <c r="DD23" s="46"/>
      <c r="DE23" s="46"/>
      <c r="DF23" s="46"/>
      <c r="DG23" s="46"/>
      <c r="DH23" s="46"/>
      <c r="DI23" s="46"/>
      <c r="DJ23" s="46"/>
      <c r="DK23" s="46"/>
      <c r="DL23" s="46"/>
      <c r="DM23" s="46"/>
    </row>
    <row r="24" spans="2:117" ht="18.75" x14ac:dyDescent="0.25">
      <c r="B24" s="140"/>
      <c r="C24" s="142"/>
      <c r="D24" s="51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U24" s="140"/>
      <c r="V24" s="250"/>
      <c r="W24" s="51"/>
      <c r="X24" s="46"/>
      <c r="Y24" s="46"/>
      <c r="Z24" s="46"/>
      <c r="AA24" s="46"/>
      <c r="AB24" s="46"/>
      <c r="AC24" s="46"/>
      <c r="AD24" s="46"/>
      <c r="AE24" s="46"/>
      <c r="AF24" s="46"/>
      <c r="AG24" s="46"/>
      <c r="AH24" s="46"/>
      <c r="AI24" s="46"/>
      <c r="AP24" s="150" t="s">
        <v>1334</v>
      </c>
      <c r="AQ24" s="150"/>
      <c r="AR24" s="2">
        <v>250</v>
      </c>
      <c r="AS24" s="2">
        <v>1500</v>
      </c>
      <c r="AT24" s="46"/>
      <c r="AU24" s="46"/>
      <c r="AV24" s="46"/>
      <c r="AW24" s="46"/>
      <c r="AX24" s="46"/>
      <c r="AY24" s="46"/>
      <c r="AZ24" s="46"/>
      <c r="BA24" s="46"/>
      <c r="BB24" s="46"/>
      <c r="BC24" s="46"/>
      <c r="BD24" s="46"/>
      <c r="BJ24" s="257"/>
      <c r="BK24" s="142"/>
      <c r="BL24" s="51"/>
      <c r="BM24" s="51"/>
      <c r="BN24" s="51"/>
      <c r="BO24" s="51"/>
      <c r="BP24" s="51"/>
      <c r="BQ24" s="51"/>
      <c r="BR24" s="51"/>
      <c r="BS24" s="51"/>
      <c r="BT24" s="51"/>
      <c r="BU24" s="51"/>
      <c r="BV24" s="51"/>
      <c r="BW24" s="51"/>
      <c r="BX24" s="51"/>
      <c r="CE24" s="257" t="s">
        <v>1176</v>
      </c>
      <c r="CF24" s="142"/>
      <c r="CG24" s="51">
        <v>500</v>
      </c>
      <c r="CH24" s="51">
        <v>1500</v>
      </c>
      <c r="CI24" s="51"/>
      <c r="CJ24" s="51"/>
      <c r="CK24" s="51"/>
      <c r="CL24" s="51"/>
      <c r="CM24" s="51"/>
      <c r="CN24" s="51"/>
      <c r="CO24" s="51"/>
      <c r="CP24" s="51"/>
      <c r="CQ24" s="51"/>
      <c r="CR24" s="51"/>
      <c r="CS24" s="51"/>
      <c r="CY24" s="141"/>
      <c r="CZ24" s="143"/>
      <c r="DA24" s="51"/>
      <c r="DB24" s="46"/>
      <c r="DC24" s="46"/>
      <c r="DD24" s="46"/>
      <c r="DE24" s="46"/>
      <c r="DF24" s="46"/>
      <c r="DG24" s="46"/>
      <c r="DH24" s="46"/>
      <c r="DI24" s="46"/>
      <c r="DJ24" s="46"/>
      <c r="DK24" s="46"/>
      <c r="DL24" s="46"/>
      <c r="DM24" s="46"/>
    </row>
    <row r="25" spans="2:117" ht="18.75" x14ac:dyDescent="0.25">
      <c r="B25" s="141"/>
      <c r="C25" s="143"/>
      <c r="D25" s="51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U25" s="141"/>
      <c r="V25" s="225"/>
      <c r="W25" s="51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46"/>
      <c r="AI25" s="46"/>
      <c r="AP25" s="151"/>
      <c r="AQ25" s="151"/>
      <c r="AR25" s="2" t="s">
        <v>1335</v>
      </c>
      <c r="AS25" s="2" t="s">
        <v>1335</v>
      </c>
      <c r="AT25" s="46"/>
      <c r="AU25" s="46"/>
      <c r="AV25" s="46"/>
      <c r="AW25" s="46"/>
      <c r="AX25" s="46"/>
      <c r="AY25" s="46"/>
      <c r="AZ25" s="46"/>
      <c r="BA25" s="46"/>
      <c r="BB25" s="46"/>
      <c r="BC25" s="46"/>
      <c r="BD25" s="46"/>
      <c r="BJ25" s="258"/>
      <c r="BK25" s="143"/>
      <c r="BL25" s="51"/>
      <c r="BM25" s="51"/>
      <c r="BN25" s="51"/>
      <c r="BO25" s="51"/>
      <c r="BP25" s="51"/>
      <c r="BQ25" s="51"/>
      <c r="BR25" s="51"/>
      <c r="BS25" s="51"/>
      <c r="BT25" s="51"/>
      <c r="BU25" s="51"/>
      <c r="BV25" s="51"/>
      <c r="BW25" s="51"/>
      <c r="BX25" s="51"/>
      <c r="CE25" s="258"/>
      <c r="CF25" s="143"/>
      <c r="CG25" s="51" t="s">
        <v>1177</v>
      </c>
      <c r="CH25" s="51" t="s">
        <v>1177</v>
      </c>
      <c r="CI25" s="51"/>
      <c r="CJ25" s="51"/>
      <c r="CK25" s="51"/>
      <c r="CL25" s="51"/>
      <c r="CM25" s="51"/>
      <c r="CN25" s="51"/>
      <c r="CO25" s="51"/>
      <c r="CP25" s="51"/>
      <c r="CQ25" s="51"/>
      <c r="CR25" s="51"/>
      <c r="CS25" s="51"/>
      <c r="CY25" s="140"/>
      <c r="CZ25" s="142"/>
      <c r="DA25" s="51"/>
      <c r="DB25" s="46"/>
      <c r="DC25" s="46"/>
      <c r="DD25" s="46"/>
      <c r="DE25" s="46"/>
      <c r="DF25" s="46"/>
      <c r="DG25" s="46"/>
      <c r="DH25" s="46"/>
      <c r="DI25" s="46"/>
      <c r="DJ25" s="46"/>
      <c r="DK25" s="46"/>
      <c r="DL25" s="46"/>
      <c r="DM25" s="46"/>
    </row>
    <row r="26" spans="2:117" ht="18.75" x14ac:dyDescent="0.25">
      <c r="B26" s="140"/>
      <c r="C26" s="142"/>
      <c r="D26" s="51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U26" s="140"/>
      <c r="V26" s="250"/>
      <c r="W26" s="51"/>
      <c r="X26" s="46"/>
      <c r="Y26" s="46"/>
      <c r="Z26" s="46"/>
      <c r="AA26" s="46"/>
      <c r="AB26" s="46"/>
      <c r="AC26" s="46"/>
      <c r="AD26" s="46"/>
      <c r="AE26" s="46"/>
      <c r="AF26" s="46"/>
      <c r="AG26" s="46"/>
      <c r="AH26" s="46"/>
      <c r="AI26" s="46"/>
      <c r="AP26" s="140" t="s">
        <v>1355</v>
      </c>
      <c r="AQ26" s="250"/>
      <c r="AR26" s="51">
        <v>250</v>
      </c>
      <c r="AS26" s="46">
        <v>1500</v>
      </c>
      <c r="AT26" s="46"/>
      <c r="AU26" s="46"/>
      <c r="AV26" s="46"/>
      <c r="AW26" s="46"/>
      <c r="AX26" s="46"/>
      <c r="AY26" s="46"/>
      <c r="AZ26" s="46"/>
      <c r="BA26" s="46"/>
      <c r="BB26" s="46"/>
      <c r="BC26" s="46"/>
      <c r="BD26" s="46"/>
      <c r="BJ26" s="257"/>
      <c r="BK26" s="142"/>
      <c r="BL26" s="51"/>
      <c r="BM26" s="51"/>
      <c r="BN26" s="51"/>
      <c r="BO26" s="51"/>
      <c r="BP26" s="51"/>
      <c r="BQ26" s="51"/>
      <c r="BR26" s="51"/>
      <c r="BS26" s="51"/>
      <c r="BT26" s="51"/>
      <c r="BU26" s="51"/>
      <c r="BV26" s="51"/>
      <c r="BW26" s="51"/>
      <c r="BX26" s="51"/>
      <c r="CE26" s="257" t="s">
        <v>1178</v>
      </c>
      <c r="CF26" s="142"/>
      <c r="CG26" s="51">
        <v>250</v>
      </c>
      <c r="CH26" s="51">
        <v>1500</v>
      </c>
      <c r="CI26" s="51"/>
      <c r="CJ26" s="51"/>
      <c r="CK26" s="51"/>
      <c r="CL26" s="51"/>
      <c r="CM26" s="51"/>
      <c r="CN26" s="51"/>
      <c r="CO26" s="51"/>
      <c r="CP26" s="51"/>
      <c r="CQ26" s="51"/>
      <c r="CR26" s="51"/>
      <c r="CS26" s="51"/>
      <c r="CY26" s="141"/>
      <c r="CZ26" s="143"/>
      <c r="DA26" s="51"/>
      <c r="DB26" s="46"/>
      <c r="DC26" s="46"/>
      <c r="DD26" s="46"/>
      <c r="DE26" s="46"/>
      <c r="DF26" s="46"/>
      <c r="DG26" s="46"/>
      <c r="DH26" s="46"/>
      <c r="DI26" s="46"/>
      <c r="DJ26" s="46"/>
      <c r="DK26" s="46"/>
      <c r="DL26" s="46"/>
      <c r="DM26" s="46"/>
    </row>
    <row r="27" spans="2:117" ht="18.75" x14ac:dyDescent="0.25">
      <c r="B27" s="141"/>
      <c r="C27" s="143"/>
      <c r="D27" s="51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U27" s="141"/>
      <c r="V27" s="225"/>
      <c r="W27" s="51"/>
      <c r="X27" s="46"/>
      <c r="Y27" s="46"/>
      <c r="Z27" s="46"/>
      <c r="AA27" s="46"/>
      <c r="AB27" s="46"/>
      <c r="AC27" s="46"/>
      <c r="AD27" s="46"/>
      <c r="AE27" s="46"/>
      <c r="AF27" s="46"/>
      <c r="AG27" s="46"/>
      <c r="AH27" s="46"/>
      <c r="AI27" s="46"/>
      <c r="AP27" s="141"/>
      <c r="AQ27" s="225"/>
      <c r="AR27" s="51" t="s">
        <v>1356</v>
      </c>
      <c r="AS27" s="2" t="s">
        <v>1356</v>
      </c>
      <c r="AT27" s="46"/>
      <c r="AU27" s="46"/>
      <c r="AV27" s="46"/>
      <c r="AW27" s="46"/>
      <c r="AX27" s="46"/>
      <c r="AY27" s="46"/>
      <c r="AZ27" s="46"/>
      <c r="BA27" s="46"/>
      <c r="BB27" s="46"/>
      <c r="BC27" s="46"/>
      <c r="BD27" s="46"/>
      <c r="BJ27" s="258"/>
      <c r="BK27" s="143"/>
      <c r="BL27" s="51"/>
      <c r="BM27" s="51"/>
      <c r="BN27" s="51"/>
      <c r="BO27" s="51"/>
      <c r="BP27" s="51"/>
      <c r="BQ27" s="51"/>
      <c r="BR27" s="51"/>
      <c r="BS27" s="51"/>
      <c r="BT27" s="51"/>
      <c r="BU27" s="51"/>
      <c r="BV27" s="51"/>
      <c r="BW27" s="51"/>
      <c r="BX27" s="51"/>
      <c r="CE27" s="258"/>
      <c r="CF27" s="143"/>
      <c r="CG27" s="51" t="s">
        <v>1179</v>
      </c>
      <c r="CH27" s="51" t="s">
        <v>1179</v>
      </c>
      <c r="CI27" s="51"/>
      <c r="CJ27" s="51"/>
      <c r="CK27" s="51"/>
      <c r="CL27" s="51"/>
      <c r="CM27" s="51"/>
      <c r="CN27" s="51"/>
      <c r="CO27" s="51"/>
      <c r="CP27" s="51"/>
      <c r="CQ27" s="51"/>
      <c r="CR27" s="51"/>
      <c r="CS27" s="51"/>
      <c r="CY27" s="140"/>
      <c r="CZ27" s="142"/>
      <c r="DA27" s="51"/>
      <c r="DB27" s="46"/>
      <c r="DC27" s="46"/>
      <c r="DD27" s="46"/>
      <c r="DE27" s="46"/>
      <c r="DF27" s="46"/>
      <c r="DG27" s="46"/>
      <c r="DH27" s="46"/>
      <c r="DI27" s="46"/>
      <c r="DJ27" s="46"/>
      <c r="DK27" s="46"/>
      <c r="DL27" s="46"/>
      <c r="DM27" s="46"/>
    </row>
    <row r="28" spans="2:117" ht="18.75" x14ac:dyDescent="0.25">
      <c r="B28" s="140"/>
      <c r="C28" s="142"/>
      <c r="D28" s="51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U28" s="140"/>
      <c r="V28" s="250"/>
      <c r="W28" s="51"/>
      <c r="X28" s="46"/>
      <c r="Y28" s="46"/>
      <c r="Z28" s="46"/>
      <c r="AA28" s="46"/>
      <c r="AB28" s="46"/>
      <c r="AC28" s="46"/>
      <c r="AD28" s="46"/>
      <c r="AE28" s="46"/>
      <c r="AF28" s="46"/>
      <c r="AG28" s="46"/>
      <c r="AH28" s="46"/>
      <c r="AI28" s="46"/>
      <c r="AP28" s="140" t="s">
        <v>1357</v>
      </c>
      <c r="AQ28" s="250"/>
      <c r="AR28" s="51">
        <v>250</v>
      </c>
      <c r="AS28" s="46">
        <v>1500</v>
      </c>
      <c r="AT28" s="46"/>
      <c r="AU28" s="46"/>
      <c r="AV28" s="46"/>
      <c r="AW28" s="46"/>
      <c r="AX28" s="46"/>
      <c r="AY28" s="46"/>
      <c r="AZ28" s="46"/>
      <c r="BA28" s="46"/>
      <c r="BB28" s="46"/>
      <c r="BC28" s="46"/>
      <c r="BD28" s="46"/>
      <c r="BJ28" s="257"/>
      <c r="BK28" s="142"/>
      <c r="BL28" s="51"/>
      <c r="BM28" s="51"/>
      <c r="BN28" s="51"/>
      <c r="BO28" s="51"/>
      <c r="BP28" s="51"/>
      <c r="BQ28" s="51"/>
      <c r="BR28" s="51"/>
      <c r="BS28" s="51"/>
      <c r="BT28" s="51"/>
      <c r="BU28" s="51"/>
      <c r="BV28" s="51"/>
      <c r="BW28" s="51"/>
      <c r="BX28" s="51"/>
      <c r="CE28" s="257" t="s">
        <v>1353</v>
      </c>
      <c r="CF28" s="142"/>
      <c r="CG28" s="51">
        <v>250</v>
      </c>
      <c r="CH28" s="51">
        <v>1500</v>
      </c>
      <c r="CI28" s="51"/>
      <c r="CJ28" s="51"/>
      <c r="CK28" s="51"/>
      <c r="CL28" s="51"/>
      <c r="CM28" s="51"/>
      <c r="CN28" s="51"/>
      <c r="CO28" s="51"/>
      <c r="CP28" s="51"/>
      <c r="CQ28" s="51"/>
      <c r="CR28" s="51"/>
      <c r="CS28" s="51"/>
      <c r="CY28" s="141"/>
      <c r="CZ28" s="143"/>
      <c r="DA28" s="51"/>
      <c r="DB28" s="46"/>
      <c r="DC28" s="46"/>
      <c r="DD28" s="46"/>
      <c r="DE28" s="46"/>
      <c r="DF28" s="46"/>
      <c r="DG28" s="46"/>
      <c r="DH28" s="46"/>
      <c r="DI28" s="46"/>
      <c r="DJ28" s="46"/>
      <c r="DK28" s="46"/>
      <c r="DL28" s="46"/>
      <c r="DM28" s="46"/>
    </row>
    <row r="29" spans="2:117" ht="18.75" x14ac:dyDescent="0.25">
      <c r="B29" s="141"/>
      <c r="C29" s="143"/>
      <c r="D29" s="51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U29" s="141"/>
      <c r="V29" s="225"/>
      <c r="W29" s="51"/>
      <c r="X29" s="46"/>
      <c r="Y29" s="46"/>
      <c r="Z29" s="46"/>
      <c r="AA29" s="46"/>
      <c r="AB29" s="46"/>
      <c r="AC29" s="46"/>
      <c r="AD29" s="46"/>
      <c r="AE29" s="46"/>
      <c r="AF29" s="46"/>
      <c r="AG29" s="46"/>
      <c r="AH29" s="46"/>
      <c r="AI29" s="46"/>
      <c r="AP29" s="141"/>
      <c r="AQ29" s="225"/>
      <c r="AR29" s="51" t="s">
        <v>1358</v>
      </c>
      <c r="AS29" s="2" t="s">
        <v>1358</v>
      </c>
      <c r="AT29" s="46"/>
      <c r="AU29" s="46"/>
      <c r="AV29" s="46"/>
      <c r="AW29" s="46"/>
      <c r="AX29" s="46"/>
      <c r="AY29" s="46"/>
      <c r="AZ29" s="46"/>
      <c r="BA29" s="46"/>
      <c r="BB29" s="46"/>
      <c r="BC29" s="46"/>
      <c r="BD29" s="46"/>
      <c r="BJ29" s="258"/>
      <c r="BK29" s="143"/>
      <c r="BL29" s="51"/>
      <c r="BM29" s="51"/>
      <c r="BN29" s="51"/>
      <c r="BO29" s="51"/>
      <c r="BP29" s="51"/>
      <c r="BQ29" s="51"/>
      <c r="BR29" s="51"/>
      <c r="BS29" s="51"/>
      <c r="BT29" s="51"/>
      <c r="BU29" s="51"/>
      <c r="BV29" s="51"/>
      <c r="BW29" s="51"/>
      <c r="BX29" s="51"/>
      <c r="CE29" s="258"/>
      <c r="CF29" s="143"/>
      <c r="CG29" s="51" t="s">
        <v>1354</v>
      </c>
      <c r="CH29" s="51" t="s">
        <v>1354</v>
      </c>
      <c r="CI29" s="51"/>
      <c r="CJ29" s="51"/>
      <c r="CK29" s="51"/>
      <c r="CL29" s="51"/>
      <c r="CM29" s="51"/>
      <c r="CN29" s="51"/>
      <c r="CO29" s="51"/>
      <c r="CP29" s="51"/>
      <c r="CQ29" s="51"/>
      <c r="CR29" s="51"/>
      <c r="CS29" s="51"/>
      <c r="CY29" s="140"/>
      <c r="CZ29" s="142"/>
      <c r="DA29" s="51"/>
      <c r="DB29" s="46"/>
      <c r="DC29" s="46"/>
      <c r="DD29" s="46"/>
      <c r="DE29" s="46"/>
      <c r="DF29" s="46"/>
      <c r="DG29" s="46"/>
      <c r="DH29" s="46"/>
      <c r="DI29" s="46"/>
      <c r="DJ29" s="46"/>
      <c r="DK29" s="46"/>
      <c r="DL29" s="46"/>
      <c r="DM29" s="46"/>
    </row>
    <row r="30" spans="2:117" ht="18.75" x14ac:dyDescent="0.25">
      <c r="B30" s="140"/>
      <c r="C30" s="142"/>
      <c r="D30" s="51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U30" s="140"/>
      <c r="V30" s="250"/>
      <c r="W30" s="51"/>
      <c r="X30" s="46"/>
      <c r="Y30" s="46"/>
      <c r="Z30" s="46"/>
      <c r="AA30" s="46"/>
      <c r="AB30" s="46"/>
      <c r="AC30" s="46"/>
      <c r="AD30" s="46"/>
      <c r="AE30" s="46"/>
      <c r="AF30" s="46"/>
      <c r="AG30" s="46"/>
      <c r="AH30" s="46"/>
      <c r="AI30" s="46"/>
      <c r="AP30" s="140" t="s">
        <v>1359</v>
      </c>
      <c r="AQ30" s="250"/>
      <c r="AR30" s="51">
        <v>250</v>
      </c>
      <c r="AS30" s="46">
        <v>1500</v>
      </c>
      <c r="AT30" s="46"/>
      <c r="AU30" s="46"/>
      <c r="AV30" s="46"/>
      <c r="AW30" s="46"/>
      <c r="AX30" s="46"/>
      <c r="AY30" s="46"/>
      <c r="AZ30" s="46"/>
      <c r="BA30" s="46"/>
      <c r="BB30" s="46"/>
      <c r="BC30" s="46"/>
      <c r="BD30" s="46"/>
      <c r="BJ30" s="257"/>
      <c r="BK30" s="142"/>
      <c r="BL30" s="51"/>
      <c r="BM30" s="51"/>
      <c r="BN30" s="51"/>
      <c r="BO30" s="51"/>
      <c r="BP30" s="51"/>
      <c r="BQ30" s="51"/>
      <c r="BR30" s="51"/>
      <c r="BS30" s="51"/>
      <c r="BT30" s="51"/>
      <c r="BU30" s="51"/>
      <c r="BV30" s="51"/>
      <c r="BW30" s="51"/>
      <c r="BX30" s="51"/>
      <c r="CE30" s="257"/>
      <c r="CF30" s="142"/>
      <c r="CG30" s="51"/>
      <c r="CH30" s="51"/>
      <c r="CI30" s="51"/>
      <c r="CJ30" s="51"/>
      <c r="CK30" s="51"/>
      <c r="CL30" s="51"/>
      <c r="CM30" s="51"/>
      <c r="CN30" s="51"/>
      <c r="CO30" s="51"/>
      <c r="CP30" s="51"/>
      <c r="CQ30" s="51"/>
      <c r="CR30" s="51"/>
      <c r="CS30" s="51"/>
      <c r="CY30" s="141"/>
      <c r="CZ30" s="143"/>
      <c r="DA30" s="51"/>
      <c r="DB30" s="46"/>
      <c r="DC30" s="46"/>
      <c r="DD30" s="46"/>
      <c r="DE30" s="46"/>
      <c r="DF30" s="46"/>
      <c r="DG30" s="46"/>
      <c r="DH30" s="46"/>
      <c r="DI30" s="46"/>
      <c r="DJ30" s="46"/>
      <c r="DK30" s="46"/>
      <c r="DL30" s="46"/>
      <c r="DM30" s="46"/>
    </row>
    <row r="31" spans="2:117" ht="18.75" x14ac:dyDescent="0.25">
      <c r="B31" s="141"/>
      <c r="C31" s="143"/>
      <c r="D31" s="51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U31" s="141"/>
      <c r="V31" s="225"/>
      <c r="W31" s="51"/>
      <c r="X31" s="46"/>
      <c r="Y31" s="46"/>
      <c r="Z31" s="46"/>
      <c r="AA31" s="46"/>
      <c r="AB31" s="46"/>
      <c r="AC31" s="46"/>
      <c r="AD31" s="46"/>
      <c r="AE31" s="46"/>
      <c r="AF31" s="46"/>
      <c r="AG31" s="46"/>
      <c r="AH31" s="46"/>
      <c r="AI31" s="46"/>
      <c r="AP31" s="141"/>
      <c r="AQ31" s="225"/>
      <c r="AR31" s="51" t="s">
        <v>1360</v>
      </c>
      <c r="AS31" s="97" t="s">
        <v>1360</v>
      </c>
      <c r="AT31" s="46"/>
      <c r="AU31" s="46"/>
      <c r="AV31" s="46"/>
      <c r="AW31" s="46"/>
      <c r="AX31" s="46"/>
      <c r="AY31" s="46"/>
      <c r="AZ31" s="46"/>
      <c r="BA31" s="46"/>
      <c r="BB31" s="46"/>
      <c r="BC31" s="46"/>
      <c r="BD31" s="46"/>
      <c r="BJ31" s="258"/>
      <c r="BK31" s="143"/>
      <c r="BL31" s="51"/>
      <c r="BM31" s="51"/>
      <c r="BN31" s="51"/>
      <c r="BO31" s="51"/>
      <c r="BP31" s="51"/>
      <c r="BQ31" s="51"/>
      <c r="BR31" s="51"/>
      <c r="BS31" s="51"/>
      <c r="BT31" s="51"/>
      <c r="BU31" s="51"/>
      <c r="BV31" s="51"/>
      <c r="BW31" s="51"/>
      <c r="BX31" s="51"/>
      <c r="CE31" s="258"/>
      <c r="CF31" s="143"/>
      <c r="CG31" s="51"/>
      <c r="CH31" s="51"/>
      <c r="CI31" s="51"/>
      <c r="CJ31" s="51"/>
      <c r="CK31" s="51"/>
      <c r="CL31" s="51"/>
      <c r="CM31" s="51"/>
      <c r="CN31" s="51"/>
      <c r="CO31" s="51"/>
      <c r="CP31" s="51"/>
      <c r="CQ31" s="51"/>
      <c r="CR31" s="51"/>
      <c r="CS31" s="51"/>
      <c r="CY31" s="140"/>
      <c r="CZ31" s="142"/>
      <c r="DA31" s="51"/>
      <c r="DB31" s="46"/>
      <c r="DC31" s="46"/>
      <c r="DD31" s="46"/>
      <c r="DE31" s="46"/>
      <c r="DF31" s="46"/>
      <c r="DG31" s="46"/>
      <c r="DH31" s="46"/>
      <c r="DI31" s="46"/>
      <c r="DJ31" s="46"/>
      <c r="DK31" s="46"/>
      <c r="DL31" s="46"/>
      <c r="DM31" s="46"/>
    </row>
    <row r="32" spans="2:117" ht="18.75" x14ac:dyDescent="0.25">
      <c r="B32" s="140"/>
      <c r="C32" s="142"/>
      <c r="D32" s="51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U32" s="140"/>
      <c r="V32" s="250"/>
      <c r="W32" s="51"/>
      <c r="X32" s="46"/>
      <c r="Y32" s="46"/>
      <c r="Z32" s="46"/>
      <c r="AA32" s="46"/>
      <c r="AB32" s="46"/>
      <c r="AC32" s="46"/>
      <c r="AD32" s="46"/>
      <c r="AE32" s="46"/>
      <c r="AF32" s="46"/>
      <c r="AG32" s="46"/>
      <c r="AH32" s="46"/>
      <c r="AI32" s="46"/>
      <c r="AP32" s="140" t="s">
        <v>1361</v>
      </c>
      <c r="AQ32" s="250"/>
      <c r="AR32" s="51">
        <v>250</v>
      </c>
      <c r="AS32" s="46">
        <v>1500</v>
      </c>
      <c r="AT32" s="46"/>
      <c r="AU32" s="46"/>
      <c r="AV32" s="46"/>
      <c r="AW32" s="46"/>
      <c r="AX32" s="46"/>
      <c r="AY32" s="46"/>
      <c r="AZ32" s="46"/>
      <c r="BA32" s="46"/>
      <c r="BB32" s="46"/>
      <c r="BC32" s="46"/>
      <c r="BD32" s="46"/>
      <c r="BJ32" s="257"/>
      <c r="BK32" s="142"/>
      <c r="BL32" s="51"/>
      <c r="BM32" s="51"/>
      <c r="BN32" s="51"/>
      <c r="BO32" s="51"/>
      <c r="BP32" s="51"/>
      <c r="BQ32" s="51"/>
      <c r="BR32" s="51"/>
      <c r="BS32" s="51"/>
      <c r="BT32" s="51"/>
      <c r="BU32" s="51"/>
      <c r="BV32" s="51"/>
      <c r="BW32" s="51"/>
      <c r="BX32" s="51"/>
      <c r="CE32" s="257"/>
      <c r="CF32" s="142"/>
      <c r="CG32" s="51"/>
      <c r="CH32" s="51"/>
      <c r="CI32" s="51"/>
      <c r="CJ32" s="51"/>
      <c r="CK32" s="51"/>
      <c r="CL32" s="51"/>
      <c r="CM32" s="51"/>
      <c r="CN32" s="51"/>
      <c r="CO32" s="51"/>
      <c r="CP32" s="51"/>
      <c r="CQ32" s="51"/>
      <c r="CR32" s="51"/>
      <c r="CS32" s="51"/>
      <c r="CY32" s="141"/>
      <c r="CZ32" s="143"/>
      <c r="DA32" s="51"/>
      <c r="DB32" s="46"/>
      <c r="DC32" s="46"/>
      <c r="DD32" s="46"/>
      <c r="DE32" s="46"/>
      <c r="DF32" s="46"/>
      <c r="DG32" s="46"/>
      <c r="DH32" s="46"/>
      <c r="DI32" s="46"/>
      <c r="DJ32" s="46"/>
      <c r="DK32" s="46"/>
      <c r="DL32" s="46"/>
      <c r="DM32" s="46"/>
    </row>
    <row r="33" spans="2:117" ht="18.75" x14ac:dyDescent="0.25">
      <c r="B33" s="141"/>
      <c r="C33" s="143"/>
      <c r="D33" s="51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U33" s="141"/>
      <c r="V33" s="225"/>
      <c r="W33" s="51"/>
      <c r="X33" s="46"/>
      <c r="Y33" s="46"/>
      <c r="Z33" s="46"/>
      <c r="AA33" s="46"/>
      <c r="AB33" s="46"/>
      <c r="AC33" s="46"/>
      <c r="AD33" s="46"/>
      <c r="AE33" s="46"/>
      <c r="AF33" s="46"/>
      <c r="AG33" s="46"/>
      <c r="AH33" s="46"/>
      <c r="AI33" s="46"/>
      <c r="AP33" s="141"/>
      <c r="AQ33" s="225"/>
      <c r="AR33" s="51" t="s">
        <v>1363</v>
      </c>
      <c r="AS33" s="46" t="s">
        <v>1363</v>
      </c>
      <c r="AT33" s="46"/>
      <c r="AU33" s="46"/>
      <c r="AV33" s="46"/>
      <c r="AW33" s="46"/>
      <c r="AX33" s="46"/>
      <c r="AY33" s="46"/>
      <c r="AZ33" s="46"/>
      <c r="BA33" s="46"/>
      <c r="BB33" s="46"/>
      <c r="BC33" s="46"/>
      <c r="BD33" s="46"/>
      <c r="BJ33" s="258"/>
      <c r="BK33" s="143"/>
      <c r="BL33" s="51"/>
      <c r="BM33" s="51"/>
      <c r="BN33" s="51"/>
      <c r="BO33" s="51"/>
      <c r="BP33" s="51"/>
      <c r="BQ33" s="51"/>
      <c r="BR33" s="51"/>
      <c r="BS33" s="51"/>
      <c r="BT33" s="51"/>
      <c r="BU33" s="51"/>
      <c r="BV33" s="51"/>
      <c r="BW33" s="51"/>
      <c r="BX33" s="51"/>
      <c r="CE33" s="258"/>
      <c r="CF33" s="143"/>
      <c r="CG33" s="51"/>
      <c r="CH33" s="51"/>
      <c r="CI33" s="51"/>
      <c r="CJ33" s="51"/>
      <c r="CK33" s="51"/>
      <c r="CL33" s="51"/>
      <c r="CM33" s="51"/>
      <c r="CN33" s="51"/>
      <c r="CO33" s="51"/>
      <c r="CP33" s="51"/>
      <c r="CQ33" s="51"/>
      <c r="CR33" s="51"/>
      <c r="CS33" s="51"/>
      <c r="CY33" s="140"/>
      <c r="CZ33" s="142"/>
      <c r="DA33" s="51"/>
      <c r="DB33" s="46"/>
      <c r="DC33" s="46"/>
      <c r="DD33" s="46"/>
      <c r="DE33" s="46"/>
      <c r="DF33" s="46"/>
      <c r="DG33" s="46"/>
      <c r="DH33" s="46"/>
      <c r="DI33" s="46"/>
      <c r="DJ33" s="46"/>
      <c r="DK33" s="46"/>
      <c r="DL33" s="46"/>
      <c r="DM33" s="46"/>
    </row>
    <row r="34" spans="2:117" ht="18.75" x14ac:dyDescent="0.25">
      <c r="B34" s="140"/>
      <c r="C34" s="142"/>
      <c r="D34" s="51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U34" s="140"/>
      <c r="V34" s="250"/>
      <c r="W34" s="51"/>
      <c r="X34" s="46"/>
      <c r="Y34" s="46"/>
      <c r="Z34" s="46"/>
      <c r="AA34" s="46"/>
      <c r="AB34" s="46"/>
      <c r="AC34" s="46"/>
      <c r="AD34" s="46"/>
      <c r="AE34" s="46"/>
      <c r="AF34" s="46"/>
      <c r="AG34" s="46"/>
      <c r="AH34" s="46"/>
      <c r="AI34" s="46"/>
      <c r="AP34" s="140" t="s">
        <v>1362</v>
      </c>
      <c r="AQ34" s="250"/>
      <c r="AR34" s="51">
        <v>250</v>
      </c>
      <c r="AS34" s="46"/>
      <c r="AT34" s="46"/>
      <c r="AU34" s="46"/>
      <c r="AV34" s="46"/>
      <c r="AW34" s="46"/>
      <c r="AX34" s="46"/>
      <c r="AY34" s="46"/>
      <c r="AZ34" s="46"/>
      <c r="BA34" s="46"/>
      <c r="BB34" s="46"/>
      <c r="BC34" s="46"/>
      <c r="BD34" s="46"/>
      <c r="CY34" s="141"/>
      <c r="CZ34" s="143"/>
      <c r="DA34" s="51"/>
      <c r="DB34" s="46"/>
      <c r="DC34" s="46"/>
      <c r="DD34" s="46"/>
      <c r="DE34" s="46"/>
      <c r="DF34" s="46"/>
      <c r="DG34" s="46"/>
      <c r="DH34" s="46"/>
      <c r="DI34" s="46"/>
      <c r="DJ34" s="46"/>
      <c r="DK34" s="46"/>
      <c r="DL34" s="46"/>
      <c r="DM34" s="46"/>
    </row>
    <row r="35" spans="2:117" ht="18.75" x14ac:dyDescent="0.25">
      <c r="B35" s="141"/>
      <c r="C35" s="143"/>
      <c r="D35" s="51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U35" s="141"/>
      <c r="V35" s="225"/>
      <c r="W35" s="51"/>
      <c r="X35" s="46"/>
      <c r="Y35" s="46"/>
      <c r="Z35" s="46"/>
      <c r="AA35" s="46"/>
      <c r="AB35" s="46"/>
      <c r="AC35" s="46"/>
      <c r="AD35" s="46"/>
      <c r="AE35" s="46"/>
      <c r="AF35" s="46"/>
      <c r="AG35" s="46"/>
      <c r="AH35" s="46"/>
      <c r="AI35" s="46"/>
      <c r="AP35" s="141"/>
      <c r="AQ35" s="225"/>
      <c r="AR35" s="51" t="s">
        <v>1363</v>
      </c>
      <c r="AS35" s="46"/>
      <c r="AT35" s="46"/>
      <c r="AU35" s="46"/>
      <c r="AV35" s="46"/>
      <c r="AW35" s="46"/>
      <c r="AX35" s="46"/>
      <c r="AY35" s="46"/>
      <c r="AZ35" s="46"/>
      <c r="BA35" s="46"/>
      <c r="BB35" s="46"/>
      <c r="BC35" s="46"/>
      <c r="BD35" s="46"/>
    </row>
    <row r="36" spans="2:117" ht="18.75" x14ac:dyDescent="0.25">
      <c r="AP36" s="140" t="s">
        <v>1364</v>
      </c>
      <c r="AQ36" s="250">
        <v>657559077</v>
      </c>
      <c r="AR36" s="51">
        <v>250</v>
      </c>
      <c r="AS36" s="46">
        <v>1500</v>
      </c>
      <c r="AT36" s="46"/>
      <c r="AU36" s="46"/>
      <c r="AV36" s="46"/>
      <c r="AW36" s="46"/>
      <c r="AX36" s="46"/>
      <c r="AY36" s="46"/>
      <c r="AZ36" s="46"/>
      <c r="BA36" s="46"/>
      <c r="BB36" s="46"/>
      <c r="BC36" s="46"/>
      <c r="BD36" s="46"/>
    </row>
    <row r="37" spans="2:117" ht="18.75" x14ac:dyDescent="0.25">
      <c r="AP37" s="141"/>
      <c r="AQ37" s="225"/>
      <c r="AR37" s="51" t="s">
        <v>1365</v>
      </c>
      <c r="AS37" s="2" t="s">
        <v>1365</v>
      </c>
      <c r="AT37" s="46"/>
      <c r="AU37" s="46"/>
      <c r="AV37" s="46"/>
      <c r="AW37" s="46"/>
      <c r="AX37" s="46"/>
      <c r="AY37" s="46"/>
      <c r="AZ37" s="46"/>
      <c r="BA37" s="46"/>
      <c r="BB37" s="46"/>
      <c r="BC37" s="46"/>
      <c r="BD37" s="46"/>
    </row>
    <row r="38" spans="2:117" ht="18.75" x14ac:dyDescent="0.25">
      <c r="AP38" s="140"/>
      <c r="AQ38" s="250"/>
      <c r="AR38" s="51"/>
      <c r="AS38" s="46"/>
      <c r="AT38" s="46"/>
      <c r="AU38" s="46"/>
      <c r="AV38" s="46"/>
      <c r="AW38" s="46"/>
      <c r="AX38" s="46"/>
      <c r="AY38" s="46"/>
      <c r="AZ38" s="46"/>
      <c r="BA38" s="46"/>
      <c r="BB38" s="46"/>
      <c r="BC38" s="46"/>
      <c r="BD38" s="46"/>
    </row>
    <row r="39" spans="2:117" ht="18.75" x14ac:dyDescent="0.25">
      <c r="AP39" s="141"/>
      <c r="AQ39" s="225"/>
      <c r="AR39" s="51"/>
      <c r="AS39" s="46"/>
      <c r="AT39" s="46"/>
      <c r="AU39" s="46"/>
      <c r="AV39" s="46"/>
      <c r="AW39" s="46"/>
      <c r="AX39" s="46"/>
      <c r="AY39" s="46"/>
      <c r="AZ39" s="46"/>
      <c r="BA39" s="46"/>
      <c r="BB39" s="46"/>
      <c r="BC39" s="46"/>
      <c r="BD39" s="46"/>
    </row>
    <row r="40" spans="2:117" ht="18.75" x14ac:dyDescent="0.25">
      <c r="AP40" s="140"/>
      <c r="AQ40" s="250"/>
      <c r="AR40" s="51"/>
      <c r="AS40" s="46"/>
      <c r="AT40" s="46"/>
      <c r="AU40" s="46"/>
      <c r="AV40" s="46"/>
      <c r="AW40" s="46"/>
      <c r="AX40" s="46"/>
      <c r="AY40" s="46"/>
      <c r="AZ40" s="46"/>
      <c r="BA40" s="46"/>
      <c r="BB40" s="46"/>
      <c r="BC40" s="46"/>
      <c r="BD40" s="46"/>
    </row>
    <row r="41" spans="2:117" ht="18.75" x14ac:dyDescent="0.25">
      <c r="AP41" s="141"/>
      <c r="AQ41" s="225"/>
      <c r="AR41" s="51"/>
      <c r="AS41" s="46"/>
      <c r="AT41" s="46"/>
      <c r="AU41" s="46"/>
      <c r="AV41" s="46"/>
      <c r="AW41" s="46"/>
      <c r="AX41" s="46"/>
      <c r="AY41" s="46"/>
      <c r="AZ41" s="46"/>
      <c r="BA41" s="46"/>
      <c r="BB41" s="46"/>
      <c r="BC41" s="46"/>
      <c r="BD41" s="46"/>
    </row>
    <row r="42" spans="2:117" ht="18.75" x14ac:dyDescent="0.25">
      <c r="AP42" s="140"/>
      <c r="AQ42" s="250"/>
      <c r="AR42" s="51"/>
      <c r="AS42" s="46"/>
      <c r="AT42" s="46"/>
      <c r="AU42" s="46"/>
      <c r="AV42" s="46"/>
      <c r="AW42" s="46"/>
      <c r="AX42" s="46"/>
      <c r="AY42" s="46"/>
      <c r="AZ42" s="46"/>
      <c r="BA42" s="46"/>
      <c r="BB42" s="46"/>
      <c r="BC42" s="46"/>
      <c r="BD42" s="46"/>
    </row>
    <row r="43" spans="2:117" ht="18.75" x14ac:dyDescent="0.25">
      <c r="AP43" s="141"/>
      <c r="AQ43" s="225"/>
      <c r="AR43" s="51"/>
      <c r="AS43" s="46"/>
      <c r="AT43" s="46"/>
      <c r="AU43" s="46"/>
      <c r="AV43" s="46"/>
      <c r="AW43" s="46"/>
      <c r="AX43" s="46"/>
      <c r="AY43" s="46"/>
      <c r="AZ43" s="46"/>
      <c r="BA43" s="46"/>
      <c r="BB43" s="46"/>
      <c r="BC43" s="46"/>
      <c r="BD43" s="46"/>
    </row>
    <row r="44" spans="2:117" ht="18.75" x14ac:dyDescent="0.25">
      <c r="AP44" s="140"/>
      <c r="AQ44" s="250"/>
      <c r="AR44" s="51"/>
      <c r="AS44" s="46"/>
      <c r="AT44" s="46"/>
      <c r="AU44" s="46"/>
      <c r="AV44" s="46"/>
      <c r="AW44" s="46"/>
      <c r="AX44" s="46"/>
      <c r="AY44" s="46"/>
      <c r="AZ44" s="46"/>
      <c r="BA44" s="46"/>
      <c r="BB44" s="46"/>
      <c r="BC44" s="46"/>
      <c r="BD44" s="46"/>
    </row>
    <row r="45" spans="2:117" ht="18.75" x14ac:dyDescent="0.25">
      <c r="AP45" s="141"/>
      <c r="AQ45" s="225"/>
      <c r="AR45" s="51"/>
      <c r="AS45" s="46"/>
      <c r="AT45" s="46"/>
      <c r="AU45" s="46"/>
      <c r="AV45" s="46"/>
      <c r="AW45" s="46"/>
      <c r="AX45" s="46"/>
      <c r="AY45" s="46"/>
      <c r="AZ45" s="46"/>
      <c r="BA45" s="46"/>
      <c r="BB45" s="46"/>
      <c r="BC45" s="46"/>
      <c r="BD45" s="46"/>
    </row>
    <row r="46" spans="2:117" ht="18.75" x14ac:dyDescent="0.25">
      <c r="AP46" s="140"/>
      <c r="AQ46" s="250"/>
      <c r="AR46" s="51"/>
      <c r="AS46" s="46"/>
      <c r="AT46" s="46"/>
      <c r="AU46" s="46"/>
      <c r="AV46" s="46"/>
      <c r="AW46" s="46"/>
      <c r="AX46" s="46"/>
      <c r="AY46" s="46"/>
      <c r="AZ46" s="46"/>
      <c r="BA46" s="46"/>
      <c r="BB46" s="46"/>
      <c r="BC46" s="46"/>
      <c r="BD46" s="46"/>
    </row>
    <row r="47" spans="2:117" ht="18.75" x14ac:dyDescent="0.25">
      <c r="AP47" s="141"/>
      <c r="AQ47" s="225"/>
      <c r="AR47" s="51"/>
      <c r="AS47" s="46"/>
      <c r="AT47" s="46"/>
      <c r="AU47" s="46"/>
      <c r="AV47" s="46"/>
      <c r="AW47" s="46"/>
      <c r="AX47" s="46"/>
      <c r="AY47" s="46"/>
      <c r="AZ47" s="46"/>
      <c r="BA47" s="46"/>
      <c r="BB47" s="46"/>
      <c r="BC47" s="46"/>
      <c r="BD47" s="46"/>
    </row>
    <row r="48" spans="2:117" ht="18.75" x14ac:dyDescent="0.25">
      <c r="AP48" s="140"/>
      <c r="AQ48" s="250"/>
      <c r="AR48" s="51"/>
      <c r="AS48" s="46"/>
      <c r="AT48" s="46"/>
      <c r="AU48" s="46"/>
      <c r="AV48" s="46"/>
      <c r="AW48" s="46"/>
      <c r="AX48" s="46"/>
      <c r="AY48" s="46"/>
      <c r="AZ48" s="46"/>
      <c r="BA48" s="46"/>
      <c r="BB48" s="46"/>
      <c r="BC48" s="46"/>
      <c r="BD48" s="46"/>
    </row>
    <row r="49" spans="42:56" ht="18.75" x14ac:dyDescent="0.25">
      <c r="AP49" s="141"/>
      <c r="AQ49" s="225"/>
      <c r="AR49" s="51"/>
      <c r="AS49" s="46"/>
      <c r="AT49" s="46"/>
      <c r="AU49" s="46"/>
      <c r="AV49" s="46"/>
      <c r="AW49" s="46"/>
      <c r="AX49" s="46"/>
      <c r="AY49" s="46"/>
      <c r="AZ49" s="46"/>
      <c r="BA49" s="46"/>
      <c r="BB49" s="46"/>
      <c r="BC49" s="46"/>
      <c r="BD49" s="46"/>
    </row>
    <row r="50" spans="42:56" ht="18.75" x14ac:dyDescent="0.25">
      <c r="AP50" s="140"/>
      <c r="AQ50" s="250"/>
      <c r="AR50" s="51"/>
      <c r="AS50" s="46"/>
      <c r="AT50" s="46"/>
      <c r="AU50" s="46"/>
      <c r="AV50" s="46"/>
      <c r="AW50" s="46"/>
      <c r="AX50" s="46"/>
      <c r="AY50" s="46"/>
      <c r="AZ50" s="46"/>
      <c r="BA50" s="46"/>
      <c r="BB50" s="46"/>
      <c r="BC50" s="46"/>
      <c r="BD50" s="46"/>
    </row>
    <row r="51" spans="42:56" ht="18.75" x14ac:dyDescent="0.25">
      <c r="AP51" s="141"/>
      <c r="AQ51" s="225"/>
      <c r="AR51" s="51"/>
      <c r="AS51" s="46"/>
      <c r="AT51" s="46"/>
      <c r="AU51" s="46"/>
      <c r="AV51" s="46"/>
      <c r="AW51" s="46"/>
      <c r="AX51" s="46"/>
      <c r="AY51" s="46"/>
      <c r="AZ51" s="46"/>
      <c r="BA51" s="46"/>
      <c r="BB51" s="46"/>
      <c r="BC51" s="46"/>
      <c r="BD51" s="46"/>
    </row>
    <row r="52" spans="42:56" ht="18.75" x14ac:dyDescent="0.25">
      <c r="AP52" s="140"/>
      <c r="AQ52" s="250"/>
      <c r="AR52" s="51"/>
      <c r="AS52" s="46"/>
      <c r="AT52" s="46"/>
      <c r="AU52" s="46"/>
      <c r="AV52" s="46"/>
      <c r="AW52" s="46"/>
      <c r="AX52" s="46"/>
      <c r="AY52" s="46"/>
      <c r="AZ52" s="46"/>
      <c r="BA52" s="46"/>
      <c r="BB52" s="46"/>
      <c r="BC52" s="46"/>
      <c r="BD52" s="46"/>
    </row>
    <row r="53" spans="42:56" ht="18.75" x14ac:dyDescent="0.25">
      <c r="AP53" s="141"/>
      <c r="AQ53" s="225"/>
      <c r="AR53" s="51"/>
      <c r="AS53" s="46"/>
      <c r="AT53" s="46"/>
      <c r="AU53" s="46"/>
      <c r="AV53" s="46"/>
      <c r="AW53" s="46"/>
      <c r="AX53" s="46"/>
      <c r="AY53" s="46"/>
      <c r="AZ53" s="46"/>
      <c r="BA53" s="46"/>
      <c r="BB53" s="46"/>
      <c r="BC53" s="46"/>
      <c r="BD53" s="46"/>
    </row>
  </sheetData>
  <mergeCells count="191">
    <mergeCell ref="B34:B35"/>
    <mergeCell ref="C34:C35"/>
    <mergeCell ref="B26:B27"/>
    <mergeCell ref="C26:C27"/>
    <mergeCell ref="B28:B29"/>
    <mergeCell ref="C28:C29"/>
    <mergeCell ref="B30:B31"/>
    <mergeCell ref="C30:C31"/>
    <mergeCell ref="B20:B21"/>
    <mergeCell ref="C20:C21"/>
    <mergeCell ref="B22:B23"/>
    <mergeCell ref="C22:C23"/>
    <mergeCell ref="B24:B25"/>
    <mergeCell ref="C24:C25"/>
    <mergeCell ref="Z5:AE6"/>
    <mergeCell ref="U8:U9"/>
    <mergeCell ref="V8:V9"/>
    <mergeCell ref="U10:U11"/>
    <mergeCell ref="V10:V11"/>
    <mergeCell ref="U12:U13"/>
    <mergeCell ref="B32:B33"/>
    <mergeCell ref="C32:C33"/>
    <mergeCell ref="C12:C13"/>
    <mergeCell ref="B14:B15"/>
    <mergeCell ref="C14:C15"/>
    <mergeCell ref="B16:B17"/>
    <mergeCell ref="C16:C17"/>
    <mergeCell ref="B18:B19"/>
    <mergeCell ref="C18:C19"/>
    <mergeCell ref="G5:L6"/>
    <mergeCell ref="B10:B11"/>
    <mergeCell ref="C10:C11"/>
    <mergeCell ref="B12:B13"/>
    <mergeCell ref="U32:U33"/>
    <mergeCell ref="V32:V33"/>
    <mergeCell ref="E10:P11"/>
    <mergeCell ref="U34:U35"/>
    <mergeCell ref="V34:V35"/>
    <mergeCell ref="AQ8:AQ9"/>
    <mergeCell ref="AQ10:AQ11"/>
    <mergeCell ref="AQ12:AQ13"/>
    <mergeCell ref="U26:U27"/>
    <mergeCell ref="V26:V27"/>
    <mergeCell ref="U28:U29"/>
    <mergeCell ref="V28:V29"/>
    <mergeCell ref="U30:U31"/>
    <mergeCell ref="V30:V31"/>
    <mergeCell ref="U20:U21"/>
    <mergeCell ref="V20:V21"/>
    <mergeCell ref="U22:U23"/>
    <mergeCell ref="V22:V23"/>
    <mergeCell ref="U24:U25"/>
    <mergeCell ref="V24:V25"/>
    <mergeCell ref="V12:V13"/>
    <mergeCell ref="U14:U15"/>
    <mergeCell ref="V14:V15"/>
    <mergeCell ref="U16:U17"/>
    <mergeCell ref="V16:V17"/>
    <mergeCell ref="U18:U19"/>
    <mergeCell ref="V18:V19"/>
    <mergeCell ref="AU5:AZ6"/>
    <mergeCell ref="AP8:AP9"/>
    <mergeCell ref="AP10:AP11"/>
    <mergeCell ref="AP12:AP13"/>
    <mergeCell ref="AP14:AP15"/>
    <mergeCell ref="AP16:AP17"/>
    <mergeCell ref="AQ32:AQ33"/>
    <mergeCell ref="AQ34:AQ35"/>
    <mergeCell ref="AQ26:AQ27"/>
    <mergeCell ref="AQ28:AQ29"/>
    <mergeCell ref="AQ30:AQ31"/>
    <mergeCell ref="AQ20:AQ21"/>
    <mergeCell ref="AQ22:AQ23"/>
    <mergeCell ref="AQ24:AQ25"/>
    <mergeCell ref="AQ14:AQ15"/>
    <mergeCell ref="AQ16:AQ17"/>
    <mergeCell ref="AQ18:AQ19"/>
    <mergeCell ref="AP30:AP31"/>
    <mergeCell ref="AP32:AP33"/>
    <mergeCell ref="AP34:AP35"/>
    <mergeCell ref="AP18:AP19"/>
    <mergeCell ref="AP20:AP21"/>
    <mergeCell ref="AP22:AP23"/>
    <mergeCell ref="AP24:AP25"/>
    <mergeCell ref="AP26:AP27"/>
    <mergeCell ref="AP28:AP29"/>
    <mergeCell ref="BK14:BK15"/>
    <mergeCell ref="BJ16:BJ17"/>
    <mergeCell ref="BK16:BK17"/>
    <mergeCell ref="BJ18:BJ19"/>
    <mergeCell ref="BK18:BK19"/>
    <mergeCell ref="BJ8:BJ9"/>
    <mergeCell ref="BK8:BK9"/>
    <mergeCell ref="BJ10:BJ11"/>
    <mergeCell ref="BK10:BK11"/>
    <mergeCell ref="BJ12:BJ13"/>
    <mergeCell ref="CE30:CE31"/>
    <mergeCell ref="CF24:CF25"/>
    <mergeCell ref="CF26:CF27"/>
    <mergeCell ref="CF28:CF29"/>
    <mergeCell ref="CF30:CF31"/>
    <mergeCell ref="BO3:BT4"/>
    <mergeCell ref="BJ6:BJ7"/>
    <mergeCell ref="BK6:BK7"/>
    <mergeCell ref="BJ32:BJ33"/>
    <mergeCell ref="BK32:BK33"/>
    <mergeCell ref="BJ26:BJ27"/>
    <mergeCell ref="BK26:BK27"/>
    <mergeCell ref="BJ28:BJ29"/>
    <mergeCell ref="BK28:BK29"/>
    <mergeCell ref="BJ30:BJ31"/>
    <mergeCell ref="BK30:BK31"/>
    <mergeCell ref="BJ20:BJ21"/>
    <mergeCell ref="BK20:BK21"/>
    <mergeCell ref="BJ22:BJ23"/>
    <mergeCell ref="BK22:BK23"/>
    <mergeCell ref="BJ24:BJ25"/>
    <mergeCell ref="BK24:BK25"/>
    <mergeCell ref="BK12:BK13"/>
    <mergeCell ref="BJ14:BJ15"/>
    <mergeCell ref="CE32:CE33"/>
    <mergeCell ref="CF32:CF33"/>
    <mergeCell ref="CJ3:CO4"/>
    <mergeCell ref="CE6:CE7"/>
    <mergeCell ref="CF6:CF7"/>
    <mergeCell ref="CE8:CE9"/>
    <mergeCell ref="CF8:CF9"/>
    <mergeCell ref="CE10:CE11"/>
    <mergeCell ref="CF10:CF11"/>
    <mergeCell ref="CE12:CE13"/>
    <mergeCell ref="CF12:CF13"/>
    <mergeCell ref="CE14:CE15"/>
    <mergeCell ref="CF14:CF15"/>
    <mergeCell ref="CE16:CE17"/>
    <mergeCell ref="CF16:CF17"/>
    <mergeCell ref="CE18:CE19"/>
    <mergeCell ref="CF18:CF19"/>
    <mergeCell ref="CE20:CE21"/>
    <mergeCell ref="CF20:CF21"/>
    <mergeCell ref="CE22:CE23"/>
    <mergeCell ref="CF22:CF23"/>
    <mergeCell ref="CE24:CE25"/>
    <mergeCell ref="CE26:CE27"/>
    <mergeCell ref="CE28:CE29"/>
    <mergeCell ref="CY9:CY10"/>
    <mergeCell ref="CZ9:CZ10"/>
    <mergeCell ref="CY11:CY12"/>
    <mergeCell ref="CZ11:CZ12"/>
    <mergeCell ref="CY13:CY14"/>
    <mergeCell ref="CZ13:CZ14"/>
    <mergeCell ref="CY15:CY16"/>
    <mergeCell ref="CZ15:CZ16"/>
    <mergeCell ref="DD4:DI5"/>
    <mergeCell ref="CY7:CY8"/>
    <mergeCell ref="CZ7:CZ8"/>
    <mergeCell ref="CY27:CY28"/>
    <mergeCell ref="CZ27:CZ28"/>
    <mergeCell ref="CY29:CY30"/>
    <mergeCell ref="CZ29:CZ30"/>
    <mergeCell ref="CY31:CY32"/>
    <mergeCell ref="CZ31:CZ32"/>
    <mergeCell ref="CY33:CY34"/>
    <mergeCell ref="CZ33:CZ34"/>
    <mergeCell ref="CY17:CY18"/>
    <mergeCell ref="CZ17:CZ18"/>
    <mergeCell ref="CY19:CY20"/>
    <mergeCell ref="CZ19:CZ20"/>
    <mergeCell ref="CY21:CY22"/>
    <mergeCell ref="CZ21:CZ22"/>
    <mergeCell ref="CY23:CY24"/>
    <mergeCell ref="CZ23:CZ24"/>
    <mergeCell ref="CY25:CY26"/>
    <mergeCell ref="CZ25:CZ26"/>
    <mergeCell ref="AP46:AP47"/>
    <mergeCell ref="AQ46:AQ47"/>
    <mergeCell ref="AP48:AP49"/>
    <mergeCell ref="AQ48:AQ49"/>
    <mergeCell ref="AP50:AP51"/>
    <mergeCell ref="AQ50:AQ51"/>
    <mergeCell ref="AP52:AP53"/>
    <mergeCell ref="AQ52:AQ53"/>
    <mergeCell ref="AP36:AP37"/>
    <mergeCell ref="AQ36:AQ37"/>
    <mergeCell ref="AP38:AP39"/>
    <mergeCell ref="AQ38:AQ39"/>
    <mergeCell ref="AP40:AP41"/>
    <mergeCell ref="AQ40:AQ41"/>
    <mergeCell ref="AP42:AP43"/>
    <mergeCell ref="AQ42:AQ43"/>
    <mergeCell ref="AP44:AP45"/>
    <mergeCell ref="AQ44:AQ45"/>
  </mergeCells>
  <phoneticPr fontId="6" type="noConversion"/>
  <pageMargins left="0.7" right="0.7" top="0.75" bottom="0.75" header="0.3" footer="0.3"/>
  <pageSetup paperSize="9" orientation="portrait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F98C9-6016-42A5-8CDC-A6E450938ABD}">
  <dimension ref="C4:BU34"/>
  <sheetViews>
    <sheetView rightToLeft="1" topLeftCell="AY1" workbookViewId="0">
      <selection activeCell="F18" sqref="F18"/>
    </sheetView>
  </sheetViews>
  <sheetFormatPr defaultColWidth="11.42578125" defaultRowHeight="15" x14ac:dyDescent="0.25"/>
  <cols>
    <col min="3" max="3" width="19" customWidth="1"/>
    <col min="4" max="4" width="25.5703125" bestFit="1" customWidth="1"/>
    <col min="5" max="5" width="22.7109375" customWidth="1"/>
    <col min="6" max="6" width="24.5703125" customWidth="1"/>
    <col min="7" max="7" width="16.5703125" customWidth="1"/>
    <col min="21" max="21" width="18.140625" customWidth="1"/>
    <col min="22" max="22" width="18.5703125" customWidth="1"/>
    <col min="23" max="23" width="20.5703125" customWidth="1"/>
    <col min="24" max="24" width="23.7109375" customWidth="1"/>
    <col min="42" max="42" width="22.140625" customWidth="1"/>
    <col min="43" max="43" width="28.5703125" bestFit="1" customWidth="1"/>
    <col min="44" max="44" width="21" customWidth="1"/>
    <col min="45" max="45" width="26" customWidth="1"/>
    <col min="46" max="46" width="17.42578125" customWidth="1"/>
    <col min="59" max="59" width="17.7109375" bestFit="1" customWidth="1"/>
    <col min="60" max="60" width="28.5703125" bestFit="1" customWidth="1"/>
    <col min="61" max="62" width="20" bestFit="1" customWidth="1"/>
  </cols>
  <sheetData>
    <row r="4" spans="3:73" ht="28.5" customHeight="1" x14ac:dyDescent="0.3">
      <c r="C4" s="53"/>
      <c r="D4" s="53"/>
      <c r="E4" s="53"/>
      <c r="F4" s="53"/>
      <c r="G4" s="269" t="s">
        <v>509</v>
      </c>
      <c r="H4" s="269"/>
      <c r="I4" s="269"/>
      <c r="J4" s="269"/>
      <c r="K4" s="269"/>
      <c r="L4" s="269"/>
      <c r="M4" s="269"/>
      <c r="N4" s="53"/>
      <c r="O4" s="53"/>
      <c r="P4" s="53"/>
      <c r="Q4" s="53"/>
      <c r="U4" s="53"/>
      <c r="V4" s="53"/>
      <c r="W4" s="53"/>
      <c r="X4" s="53"/>
      <c r="Y4" s="144" t="s">
        <v>513</v>
      </c>
      <c r="Z4" s="144"/>
      <c r="AA4" s="144"/>
      <c r="AB4" s="144"/>
      <c r="AC4" s="144"/>
      <c r="AD4" s="144"/>
      <c r="AE4" s="145"/>
      <c r="AF4" s="53"/>
      <c r="AG4" s="53"/>
      <c r="AH4" s="53"/>
      <c r="AI4" s="53"/>
      <c r="AP4" s="53"/>
      <c r="AQ4" s="53"/>
      <c r="AR4" s="53"/>
      <c r="AS4" s="53"/>
      <c r="AT4" s="269" t="s">
        <v>689</v>
      </c>
      <c r="AU4" s="269"/>
      <c r="AV4" s="269"/>
      <c r="AW4" s="269"/>
      <c r="AX4" s="269"/>
      <c r="AY4" s="269"/>
      <c r="AZ4" s="269"/>
      <c r="BA4" s="53"/>
      <c r="BB4" s="53"/>
      <c r="BC4" s="53"/>
      <c r="BD4" s="53"/>
      <c r="BG4" s="53"/>
      <c r="BH4" s="53"/>
      <c r="BI4" s="53"/>
      <c r="BJ4" s="53"/>
      <c r="BK4" s="269" t="s">
        <v>1324</v>
      </c>
      <c r="BL4" s="269"/>
      <c r="BM4" s="269"/>
      <c r="BN4" s="269"/>
      <c r="BO4" s="269"/>
      <c r="BP4" s="269"/>
      <c r="BQ4" s="269"/>
      <c r="BR4" s="53"/>
      <c r="BS4" s="53"/>
      <c r="BT4" s="53"/>
      <c r="BU4" s="53"/>
    </row>
    <row r="5" spans="3:73" ht="18.75" customHeight="1" x14ac:dyDescent="0.3">
      <c r="C5" s="53"/>
      <c r="D5" s="53"/>
      <c r="E5" s="53"/>
      <c r="F5" s="53"/>
      <c r="G5" s="269"/>
      <c r="H5" s="269"/>
      <c r="I5" s="269"/>
      <c r="J5" s="269"/>
      <c r="K5" s="269"/>
      <c r="L5" s="269"/>
      <c r="M5" s="269"/>
      <c r="N5" s="53"/>
      <c r="O5" s="53"/>
      <c r="P5" s="53"/>
      <c r="Q5" s="53"/>
      <c r="U5" s="53"/>
      <c r="V5" s="53"/>
      <c r="W5" s="53"/>
      <c r="X5" s="53"/>
      <c r="Y5" s="146"/>
      <c r="Z5" s="146"/>
      <c r="AA5" s="146"/>
      <c r="AB5" s="146"/>
      <c r="AC5" s="146"/>
      <c r="AD5" s="146"/>
      <c r="AE5" s="147"/>
      <c r="AF5" s="53"/>
      <c r="AG5" s="53"/>
      <c r="AH5" s="53"/>
      <c r="AI5" s="53"/>
      <c r="AP5" s="53"/>
      <c r="AQ5" s="53"/>
      <c r="AR5" s="53"/>
      <c r="AS5" s="53"/>
      <c r="AT5" s="269"/>
      <c r="AU5" s="269"/>
      <c r="AV5" s="269"/>
      <c r="AW5" s="269"/>
      <c r="AX5" s="269"/>
      <c r="AY5" s="269"/>
      <c r="AZ5" s="269"/>
      <c r="BA5" s="53"/>
      <c r="BB5" s="53"/>
      <c r="BC5" s="53"/>
      <c r="BD5" s="53"/>
      <c r="BG5" s="53"/>
      <c r="BH5" s="53"/>
      <c r="BI5" s="53"/>
      <c r="BJ5" s="53"/>
      <c r="BK5" s="269"/>
      <c r="BL5" s="269"/>
      <c r="BM5" s="269"/>
      <c r="BN5" s="269"/>
      <c r="BO5" s="269"/>
      <c r="BP5" s="269"/>
      <c r="BQ5" s="269"/>
      <c r="BR5" s="53"/>
      <c r="BS5" s="53"/>
      <c r="BT5" s="53"/>
      <c r="BU5" s="53"/>
    </row>
    <row r="6" spans="3:73" ht="21" x14ac:dyDescent="0.35">
      <c r="C6" s="56" t="s">
        <v>215</v>
      </c>
      <c r="D6" s="7" t="s">
        <v>1</v>
      </c>
      <c r="E6" s="7" t="s">
        <v>2</v>
      </c>
      <c r="F6" s="7" t="s">
        <v>3</v>
      </c>
      <c r="G6" s="7" t="s">
        <v>4</v>
      </c>
      <c r="H6" s="7" t="s">
        <v>5</v>
      </c>
      <c r="I6" s="7" t="s">
        <v>6</v>
      </c>
      <c r="J6" s="7" t="s">
        <v>7</v>
      </c>
      <c r="K6" s="7" t="s">
        <v>8</v>
      </c>
      <c r="L6" s="7" t="s">
        <v>9</v>
      </c>
      <c r="M6" s="7" t="s">
        <v>10</v>
      </c>
      <c r="N6" s="7" t="s">
        <v>11</v>
      </c>
      <c r="O6" s="7" t="s">
        <v>12</v>
      </c>
      <c r="P6" s="7" t="s">
        <v>13</v>
      </c>
      <c r="Q6" s="7" t="s">
        <v>14</v>
      </c>
      <c r="U6" s="56" t="s">
        <v>215</v>
      </c>
      <c r="V6" s="7" t="s">
        <v>1</v>
      </c>
      <c r="W6" s="7" t="s">
        <v>2</v>
      </c>
      <c r="X6" s="7" t="s">
        <v>3</v>
      </c>
      <c r="Y6" s="1" t="s">
        <v>4</v>
      </c>
      <c r="Z6" s="1" t="s">
        <v>5</v>
      </c>
      <c r="AA6" s="1" t="s">
        <v>6</v>
      </c>
      <c r="AB6" s="1" t="s">
        <v>7</v>
      </c>
      <c r="AC6" s="1" t="s">
        <v>8</v>
      </c>
      <c r="AD6" s="1" t="s">
        <v>9</v>
      </c>
      <c r="AE6" s="1" t="s">
        <v>10</v>
      </c>
      <c r="AF6" s="1" t="s">
        <v>11</v>
      </c>
      <c r="AG6" s="1" t="s">
        <v>12</v>
      </c>
      <c r="AH6" s="1" t="s">
        <v>13</v>
      </c>
      <c r="AI6" s="1" t="s">
        <v>14</v>
      </c>
      <c r="AP6" s="56" t="s">
        <v>215</v>
      </c>
      <c r="AQ6" s="7" t="s">
        <v>1</v>
      </c>
      <c r="AR6" s="7" t="s">
        <v>2</v>
      </c>
      <c r="AS6" s="7" t="s">
        <v>3</v>
      </c>
      <c r="AT6" s="1" t="s">
        <v>4</v>
      </c>
      <c r="AU6" s="1" t="s">
        <v>5</v>
      </c>
      <c r="AV6" s="1" t="s">
        <v>6</v>
      </c>
      <c r="AW6" s="1" t="s">
        <v>7</v>
      </c>
      <c r="AX6" s="1" t="s">
        <v>8</v>
      </c>
      <c r="AY6" s="1" t="s">
        <v>9</v>
      </c>
      <c r="AZ6" s="1" t="s">
        <v>10</v>
      </c>
      <c r="BA6" s="1" t="s">
        <v>11</v>
      </c>
      <c r="BB6" s="1" t="s">
        <v>12</v>
      </c>
      <c r="BC6" s="1" t="s">
        <v>13</v>
      </c>
      <c r="BD6" s="1" t="s">
        <v>14</v>
      </c>
      <c r="BG6" s="56" t="s">
        <v>215</v>
      </c>
      <c r="BH6" s="7" t="s">
        <v>1</v>
      </c>
      <c r="BI6" s="7" t="s">
        <v>2</v>
      </c>
      <c r="BJ6" s="7" t="s">
        <v>3</v>
      </c>
      <c r="BK6" s="1" t="s">
        <v>4</v>
      </c>
      <c r="BL6" s="1" t="s">
        <v>5</v>
      </c>
      <c r="BM6" s="1" t="s">
        <v>6</v>
      </c>
      <c r="BN6" s="1" t="s">
        <v>7</v>
      </c>
      <c r="BO6" s="1" t="s">
        <v>8</v>
      </c>
      <c r="BP6" s="1" t="s">
        <v>9</v>
      </c>
      <c r="BQ6" s="1" t="s">
        <v>10</v>
      </c>
      <c r="BR6" s="1" t="s">
        <v>11</v>
      </c>
      <c r="BS6" s="1" t="s">
        <v>12</v>
      </c>
      <c r="BT6" s="1" t="s">
        <v>13</v>
      </c>
      <c r="BU6" s="1" t="s">
        <v>14</v>
      </c>
    </row>
    <row r="7" spans="3:73" ht="18.75" x14ac:dyDescent="0.25">
      <c r="C7" s="140" t="s">
        <v>510</v>
      </c>
      <c r="D7" s="142"/>
      <c r="E7" s="30"/>
      <c r="F7" s="46">
        <v>1500</v>
      </c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U7" s="140" t="s">
        <v>510</v>
      </c>
      <c r="V7" s="142"/>
      <c r="W7" s="30"/>
      <c r="X7" s="46">
        <v>1500</v>
      </c>
      <c r="Y7" s="46"/>
      <c r="Z7" s="46"/>
      <c r="AA7" s="46"/>
      <c r="AB7" s="46"/>
      <c r="AC7" s="46"/>
      <c r="AD7" s="46"/>
      <c r="AE7" s="46"/>
      <c r="AF7" s="46"/>
      <c r="AG7" s="46"/>
      <c r="AH7" s="46"/>
      <c r="AI7" s="46"/>
      <c r="AP7" s="140" t="s">
        <v>936</v>
      </c>
      <c r="AQ7" s="142" t="s">
        <v>1010</v>
      </c>
      <c r="AR7" s="30">
        <v>250</v>
      </c>
      <c r="AS7" s="46">
        <v>1500</v>
      </c>
      <c r="AT7" s="46"/>
      <c r="AU7" s="46"/>
      <c r="AV7" s="46"/>
      <c r="AW7" s="46"/>
      <c r="AX7" s="46"/>
      <c r="AY7" s="46"/>
      <c r="AZ7" s="46"/>
      <c r="BA7" s="46"/>
      <c r="BB7" s="46"/>
      <c r="BC7" s="46"/>
      <c r="BD7" s="46"/>
      <c r="BG7" s="140" t="s">
        <v>1325</v>
      </c>
      <c r="BH7" s="142"/>
      <c r="BI7" s="30">
        <v>250</v>
      </c>
      <c r="BJ7" s="46">
        <v>1500</v>
      </c>
      <c r="BK7" s="46"/>
      <c r="BL7" s="46"/>
      <c r="BM7" s="46"/>
      <c r="BN7" s="46"/>
      <c r="BO7" s="46"/>
      <c r="BP7" s="46"/>
      <c r="BQ7" s="46"/>
      <c r="BR7" s="46"/>
      <c r="BS7" s="46"/>
      <c r="BT7" s="46"/>
      <c r="BU7" s="46"/>
    </row>
    <row r="8" spans="3:73" ht="18.75" customHeight="1" x14ac:dyDescent="0.25">
      <c r="C8" s="141"/>
      <c r="D8" s="143"/>
      <c r="E8" s="30"/>
      <c r="F8" s="30" t="s">
        <v>511</v>
      </c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U8" s="141"/>
      <c r="V8" s="143"/>
      <c r="W8" s="30"/>
      <c r="X8" s="30" t="s">
        <v>511</v>
      </c>
      <c r="Y8" s="46"/>
      <c r="Z8" s="46"/>
      <c r="AA8" s="46"/>
      <c r="AB8" s="46"/>
      <c r="AC8" s="46"/>
      <c r="AD8" s="46"/>
      <c r="AE8" s="46"/>
      <c r="AF8" s="46"/>
      <c r="AG8" s="46"/>
      <c r="AH8" s="46"/>
      <c r="AI8" s="46"/>
      <c r="AP8" s="141"/>
      <c r="AQ8" s="143"/>
      <c r="AR8" s="30" t="s">
        <v>937</v>
      </c>
      <c r="AS8" s="30" t="s">
        <v>937</v>
      </c>
      <c r="AT8" s="46"/>
      <c r="AU8" s="46"/>
      <c r="AV8" s="46"/>
      <c r="AW8" s="46"/>
      <c r="AX8" s="46"/>
      <c r="AY8" s="46"/>
      <c r="AZ8" s="46"/>
      <c r="BA8" s="46"/>
      <c r="BB8" s="46"/>
      <c r="BC8" s="46"/>
      <c r="BD8" s="46"/>
      <c r="BG8" s="141"/>
      <c r="BH8" s="143"/>
      <c r="BI8" s="30" t="s">
        <v>1326</v>
      </c>
      <c r="BJ8" s="30" t="s">
        <v>1326</v>
      </c>
      <c r="BK8" s="46"/>
      <c r="BL8" s="46"/>
      <c r="BM8" s="46"/>
      <c r="BN8" s="46"/>
      <c r="BO8" s="46"/>
      <c r="BP8" s="46"/>
      <c r="BQ8" s="46"/>
      <c r="BR8" s="46"/>
      <c r="BS8" s="46"/>
      <c r="BT8" s="46"/>
      <c r="BU8" s="46"/>
    </row>
    <row r="9" spans="3:73" ht="18.75" x14ac:dyDescent="0.25">
      <c r="C9" s="140" t="s">
        <v>964</v>
      </c>
      <c r="D9" s="142"/>
      <c r="E9" s="51">
        <v>250</v>
      </c>
      <c r="F9" s="46">
        <v>1500</v>
      </c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U9" s="140"/>
      <c r="V9" s="50"/>
      <c r="W9" s="51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6"/>
      <c r="AI9" s="46"/>
      <c r="AP9" s="140" t="s">
        <v>966</v>
      </c>
      <c r="AQ9" s="142" t="s">
        <v>1011</v>
      </c>
      <c r="AR9" s="30">
        <v>250</v>
      </c>
      <c r="AS9" s="46">
        <v>1500</v>
      </c>
      <c r="AT9" s="46"/>
      <c r="AU9" s="46"/>
      <c r="AV9" s="46"/>
      <c r="AW9" s="46"/>
      <c r="AX9" s="46"/>
      <c r="AY9" s="46"/>
      <c r="AZ9" s="46"/>
      <c r="BA9" s="46"/>
      <c r="BB9" s="46"/>
      <c r="BC9" s="46"/>
      <c r="BD9" s="46"/>
      <c r="BG9" s="140"/>
      <c r="BH9" s="142"/>
      <c r="BI9" s="30"/>
      <c r="BJ9" s="46"/>
      <c r="BK9" s="46"/>
      <c r="BL9" s="46"/>
      <c r="BM9" s="46"/>
      <c r="BN9" s="46"/>
      <c r="BO9" s="46"/>
      <c r="BP9" s="46"/>
      <c r="BQ9" s="46"/>
      <c r="BR9" s="46"/>
      <c r="BS9" s="46"/>
      <c r="BT9" s="46"/>
      <c r="BU9" s="46"/>
    </row>
    <row r="10" spans="3:73" ht="18.75" x14ac:dyDescent="0.25">
      <c r="C10" s="141"/>
      <c r="D10" s="143"/>
      <c r="E10" s="51" t="s">
        <v>965</v>
      </c>
      <c r="F10" s="51" t="s">
        <v>965</v>
      </c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U10" s="141"/>
      <c r="V10" s="52"/>
      <c r="W10" s="51"/>
      <c r="X10" s="51"/>
      <c r="Y10" s="46"/>
      <c r="Z10" s="46"/>
      <c r="AA10" s="46"/>
      <c r="AB10" s="46"/>
      <c r="AC10" s="46"/>
      <c r="AD10" s="46"/>
      <c r="AE10" s="46"/>
      <c r="AF10" s="46"/>
      <c r="AG10" s="46"/>
      <c r="AH10" s="46"/>
      <c r="AI10" s="46"/>
      <c r="AP10" s="141"/>
      <c r="AQ10" s="143"/>
      <c r="AR10" s="30" t="s">
        <v>967</v>
      </c>
      <c r="AS10" s="30" t="s">
        <v>967</v>
      </c>
      <c r="AT10" s="46"/>
      <c r="AU10" s="46"/>
      <c r="AV10" s="46"/>
      <c r="AW10" s="46"/>
      <c r="AX10" s="46"/>
      <c r="AY10" s="46"/>
      <c r="AZ10" s="46"/>
      <c r="BA10" s="46"/>
      <c r="BB10" s="46"/>
      <c r="BC10" s="46"/>
      <c r="BD10" s="46"/>
      <c r="BG10" s="141"/>
      <c r="BH10" s="143"/>
      <c r="BI10" s="30"/>
      <c r="BJ10" s="30"/>
      <c r="BK10" s="46"/>
      <c r="BL10" s="46"/>
      <c r="BM10" s="46"/>
      <c r="BN10" s="46"/>
      <c r="BO10" s="46"/>
      <c r="BP10" s="46"/>
      <c r="BQ10" s="46"/>
      <c r="BR10" s="46"/>
      <c r="BS10" s="46"/>
      <c r="BT10" s="46"/>
      <c r="BU10" s="46"/>
    </row>
    <row r="11" spans="3:73" ht="18.75" x14ac:dyDescent="0.25">
      <c r="C11" s="140" t="s">
        <v>1033</v>
      </c>
      <c r="D11" s="142" t="s">
        <v>1034</v>
      </c>
      <c r="E11" s="51">
        <v>250</v>
      </c>
      <c r="F11" s="46">
        <v>1500</v>
      </c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U11" s="140"/>
      <c r="V11" s="50"/>
      <c r="W11" s="51"/>
      <c r="X11" s="46"/>
      <c r="Y11" s="46"/>
      <c r="Z11" s="46"/>
      <c r="AA11" s="46"/>
      <c r="AB11" s="46"/>
      <c r="AC11" s="46"/>
      <c r="AD11" s="46"/>
      <c r="AE11" s="46"/>
      <c r="AF11" s="46"/>
      <c r="AG11" s="46"/>
      <c r="AH11" s="46"/>
      <c r="AI11" s="46"/>
      <c r="AP11" s="140"/>
      <c r="AQ11" s="50"/>
      <c r="AR11" s="51"/>
      <c r="AS11" s="46"/>
      <c r="AT11" s="46"/>
      <c r="AU11" s="46"/>
      <c r="AV11" s="46"/>
      <c r="AW11" s="46"/>
      <c r="AX11" s="46"/>
      <c r="AY11" s="46"/>
      <c r="AZ11" s="46"/>
      <c r="BA11" s="46"/>
      <c r="BB11" s="46"/>
      <c r="BC11" s="46"/>
      <c r="BD11" s="46"/>
    </row>
    <row r="12" spans="3:73" ht="18.75" x14ac:dyDescent="0.25">
      <c r="C12" s="141"/>
      <c r="D12" s="143"/>
      <c r="E12" s="51" t="s">
        <v>1035</v>
      </c>
      <c r="F12" s="51" t="s">
        <v>1035</v>
      </c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U12" s="141"/>
      <c r="V12" s="52"/>
      <c r="W12" s="51"/>
      <c r="X12" s="46"/>
      <c r="Y12" s="46"/>
      <c r="Z12" s="46"/>
      <c r="AA12" s="46"/>
      <c r="AB12" s="46"/>
      <c r="AC12" s="46"/>
      <c r="AD12" s="46"/>
      <c r="AE12" s="46"/>
      <c r="AF12" s="46"/>
      <c r="AG12" s="46"/>
      <c r="AH12" s="46"/>
      <c r="AI12" s="46"/>
      <c r="AP12" s="141"/>
      <c r="AQ12" s="52"/>
      <c r="AR12" s="51"/>
      <c r="AS12" s="46"/>
      <c r="AT12" s="46"/>
      <c r="AU12" s="46"/>
      <c r="AV12" s="46"/>
      <c r="AW12" s="46"/>
      <c r="AX12" s="46"/>
      <c r="AY12" s="46"/>
      <c r="AZ12" s="46"/>
      <c r="BA12" s="46"/>
      <c r="BB12" s="46"/>
      <c r="BC12" s="46"/>
      <c r="BD12" s="46"/>
    </row>
    <row r="13" spans="3:73" ht="18.75" x14ac:dyDescent="0.25">
      <c r="C13" s="140" t="s">
        <v>1059</v>
      </c>
      <c r="D13" s="142" t="s">
        <v>1060</v>
      </c>
      <c r="E13" s="51">
        <v>250</v>
      </c>
      <c r="F13" s="46">
        <v>1500</v>
      </c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U13" s="140"/>
      <c r="V13" s="50"/>
      <c r="W13" s="51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6"/>
      <c r="AI13" s="46"/>
      <c r="AP13" s="140"/>
      <c r="AQ13" s="50"/>
      <c r="AR13" s="51"/>
      <c r="AS13" s="46"/>
      <c r="AT13" s="46"/>
      <c r="AU13" s="46"/>
      <c r="AV13" s="46"/>
      <c r="AW13" s="46"/>
      <c r="AX13" s="46"/>
      <c r="AY13" s="46"/>
      <c r="AZ13" s="46"/>
      <c r="BA13" s="46"/>
      <c r="BB13" s="46"/>
      <c r="BC13" s="46"/>
      <c r="BD13" s="46"/>
    </row>
    <row r="14" spans="3:73" ht="18.75" x14ac:dyDescent="0.25">
      <c r="C14" s="141"/>
      <c r="D14" s="143"/>
      <c r="E14" s="51" t="s">
        <v>1061</v>
      </c>
      <c r="F14" s="2" t="s">
        <v>1323</v>
      </c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U14" s="141"/>
      <c r="V14" s="52"/>
      <c r="W14" s="51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46"/>
      <c r="AI14" s="46"/>
      <c r="AP14" s="141"/>
      <c r="AQ14" s="52"/>
      <c r="AR14" s="51"/>
      <c r="AS14" s="46"/>
      <c r="AT14" s="46"/>
      <c r="AU14" s="46"/>
      <c r="AV14" s="46"/>
      <c r="AW14" s="46"/>
      <c r="AX14" s="46"/>
      <c r="AY14" s="46"/>
      <c r="AZ14" s="46"/>
      <c r="BA14" s="46"/>
      <c r="BB14" s="46"/>
      <c r="BC14" s="46"/>
      <c r="BD14" s="46"/>
    </row>
    <row r="15" spans="3:73" ht="18.75" x14ac:dyDescent="0.25">
      <c r="C15" s="140" t="s">
        <v>1327</v>
      </c>
      <c r="D15" s="142"/>
      <c r="E15" s="51">
        <v>250</v>
      </c>
      <c r="F15" s="46">
        <v>1500</v>
      </c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U15" s="48"/>
      <c r="V15" s="50"/>
      <c r="W15" s="51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P15" s="48"/>
      <c r="AQ15" s="50"/>
      <c r="AR15" s="51"/>
      <c r="AS15" s="46"/>
      <c r="AT15" s="46"/>
      <c r="AU15" s="46"/>
      <c r="AV15" s="46"/>
      <c r="AW15" s="46"/>
      <c r="AX15" s="46"/>
      <c r="AY15" s="46"/>
      <c r="AZ15" s="46"/>
      <c r="BA15" s="46"/>
      <c r="BB15" s="46"/>
      <c r="BC15" s="46"/>
      <c r="BD15" s="46"/>
    </row>
    <row r="16" spans="3:73" ht="18.75" x14ac:dyDescent="0.25">
      <c r="C16" s="141"/>
      <c r="D16" s="143"/>
      <c r="E16" s="51" t="s">
        <v>1328</v>
      </c>
      <c r="F16" s="97" t="s">
        <v>1328</v>
      </c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S16" t="s">
        <v>602</v>
      </c>
      <c r="U16" s="49"/>
      <c r="V16" s="52"/>
      <c r="W16" s="51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46"/>
      <c r="AI16" s="46"/>
      <c r="AP16" s="49"/>
      <c r="AQ16" s="52"/>
      <c r="AR16" s="51"/>
      <c r="AS16" s="46"/>
      <c r="AT16" s="46"/>
      <c r="AU16" s="46"/>
      <c r="AV16" s="46"/>
      <c r="AW16" s="46"/>
      <c r="AX16" s="46"/>
      <c r="AY16" s="46"/>
      <c r="AZ16" s="46"/>
      <c r="BA16" s="46"/>
      <c r="BB16" s="46"/>
      <c r="BC16" s="46"/>
      <c r="BD16" s="46"/>
    </row>
    <row r="17" spans="3:56" ht="18.75" x14ac:dyDescent="0.25">
      <c r="C17" s="140" t="s">
        <v>1329</v>
      </c>
      <c r="D17" s="142"/>
      <c r="E17" s="30">
        <v>250</v>
      </c>
      <c r="F17" s="46">
        <v>1500</v>
      </c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U17" s="48"/>
      <c r="V17" s="50"/>
      <c r="W17" s="30"/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H17" s="46"/>
      <c r="AI17" s="46"/>
      <c r="AP17" s="48"/>
      <c r="AQ17" s="50"/>
      <c r="AR17" s="30"/>
      <c r="AS17" s="46"/>
      <c r="AT17" s="46"/>
      <c r="AU17" s="46"/>
      <c r="AV17" s="46"/>
      <c r="AW17" s="46"/>
      <c r="AX17" s="46"/>
      <c r="AY17" s="46"/>
      <c r="AZ17" s="46"/>
      <c r="BA17" s="46"/>
      <c r="BB17" s="46"/>
      <c r="BC17" s="46"/>
      <c r="BD17" s="46"/>
    </row>
    <row r="18" spans="3:56" ht="18.75" x14ac:dyDescent="0.25">
      <c r="C18" s="141"/>
      <c r="D18" s="143"/>
      <c r="E18" s="30" t="s">
        <v>1330</v>
      </c>
      <c r="F18" s="46" t="s">
        <v>1330</v>
      </c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U18" s="49"/>
      <c r="V18" s="52"/>
      <c r="W18" s="30"/>
      <c r="X18" s="46"/>
      <c r="Y18" s="46"/>
      <c r="Z18" s="46"/>
      <c r="AA18" s="46"/>
      <c r="AB18" s="46"/>
      <c r="AC18" s="46"/>
      <c r="AD18" s="46"/>
      <c r="AE18" s="46"/>
      <c r="AF18" s="46"/>
      <c r="AG18" s="46"/>
      <c r="AH18" s="46"/>
      <c r="AI18" s="46"/>
      <c r="AP18" s="49"/>
      <c r="AQ18" s="52"/>
      <c r="AR18" s="30"/>
      <c r="AS18" s="46"/>
      <c r="AT18" s="46"/>
      <c r="AU18" s="46"/>
      <c r="AV18" s="46"/>
      <c r="AW18" s="46"/>
      <c r="AX18" s="46"/>
      <c r="AY18" s="46"/>
      <c r="AZ18" s="46"/>
      <c r="BA18" s="46"/>
      <c r="BB18" s="46"/>
      <c r="BC18" s="46"/>
      <c r="BD18" s="46"/>
    </row>
    <row r="19" spans="3:56" ht="18.75" x14ac:dyDescent="0.25">
      <c r="C19" s="140"/>
      <c r="D19" s="142"/>
      <c r="E19" s="51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U19" s="48"/>
      <c r="V19" s="50"/>
      <c r="W19" s="51"/>
      <c r="X19" s="46"/>
      <c r="Y19" s="46"/>
      <c r="Z19" s="46"/>
      <c r="AA19" s="46"/>
      <c r="AB19" s="46"/>
      <c r="AC19" s="46"/>
      <c r="AD19" s="46"/>
      <c r="AE19" s="46"/>
      <c r="AF19" s="46"/>
      <c r="AG19" s="46"/>
      <c r="AH19" s="46"/>
      <c r="AI19" s="46"/>
      <c r="AP19" s="48"/>
      <c r="AQ19" s="50"/>
      <c r="AR19" s="51"/>
      <c r="AS19" s="46"/>
      <c r="AT19" s="46"/>
      <c r="AU19" s="46"/>
      <c r="AV19" s="46"/>
      <c r="AW19" s="46"/>
      <c r="AX19" s="46"/>
      <c r="AY19" s="46"/>
      <c r="AZ19" s="46"/>
      <c r="BA19" s="46"/>
      <c r="BB19" s="46"/>
      <c r="BC19" s="46"/>
      <c r="BD19" s="46"/>
    </row>
    <row r="20" spans="3:56" ht="18.75" x14ac:dyDescent="0.25">
      <c r="C20" s="141"/>
      <c r="D20" s="143"/>
      <c r="E20" s="51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U20" s="49"/>
      <c r="V20" s="52"/>
      <c r="W20" s="51"/>
      <c r="X20" s="46"/>
      <c r="Y20" s="46"/>
      <c r="Z20" s="46"/>
      <c r="AA20" s="46"/>
      <c r="AB20" s="46"/>
      <c r="AC20" s="46"/>
      <c r="AD20" s="46"/>
      <c r="AE20" s="46"/>
      <c r="AF20" s="46"/>
      <c r="AG20" s="46"/>
      <c r="AH20" s="46"/>
      <c r="AI20" s="46"/>
      <c r="AP20" s="49"/>
      <c r="AQ20" s="52"/>
      <c r="AR20" s="51"/>
      <c r="AS20" s="46"/>
      <c r="AT20" s="46"/>
      <c r="AU20" s="46"/>
      <c r="AV20" s="46"/>
      <c r="AW20" s="46"/>
      <c r="AX20" s="46"/>
      <c r="AY20" s="46"/>
      <c r="AZ20" s="46"/>
      <c r="BA20" s="46"/>
      <c r="BB20" s="46"/>
      <c r="BC20" s="46"/>
      <c r="BD20" s="46"/>
    </row>
    <row r="21" spans="3:56" ht="18.75" x14ac:dyDescent="0.25">
      <c r="C21" s="140"/>
      <c r="D21" s="142"/>
      <c r="E21" s="51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U21" s="48"/>
      <c r="V21" s="50"/>
      <c r="W21" s="51"/>
      <c r="X21" s="46"/>
      <c r="Y21" s="46"/>
      <c r="Z21" s="46"/>
      <c r="AA21" s="46"/>
      <c r="AB21" s="46"/>
      <c r="AC21" s="46"/>
      <c r="AD21" s="46"/>
      <c r="AE21" s="46"/>
      <c r="AF21" s="46"/>
      <c r="AG21" s="46"/>
      <c r="AH21" s="46"/>
      <c r="AI21" s="46"/>
      <c r="AP21" s="48"/>
      <c r="AQ21" s="50"/>
      <c r="AR21" s="51"/>
      <c r="AS21" s="46"/>
      <c r="AT21" s="46"/>
      <c r="AU21" s="46"/>
      <c r="AV21" s="46"/>
      <c r="AW21" s="46"/>
      <c r="AX21" s="46"/>
      <c r="AY21" s="46"/>
      <c r="AZ21" s="46"/>
      <c r="BA21" s="46"/>
      <c r="BB21" s="46"/>
      <c r="BC21" s="46"/>
      <c r="BD21" s="46"/>
    </row>
    <row r="22" spans="3:56" ht="18.75" x14ac:dyDescent="0.25">
      <c r="C22" s="141"/>
      <c r="D22" s="143"/>
      <c r="E22" s="51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U22" s="49"/>
      <c r="V22" s="52"/>
      <c r="W22" s="51"/>
      <c r="X22" s="46"/>
      <c r="Y22" s="46"/>
      <c r="Z22" s="46"/>
      <c r="AA22" s="46"/>
      <c r="AB22" s="46"/>
      <c r="AC22" s="46"/>
      <c r="AD22" s="46"/>
      <c r="AE22" s="46"/>
      <c r="AF22" s="46"/>
      <c r="AG22" s="46"/>
      <c r="AH22" s="46"/>
      <c r="AI22" s="46"/>
      <c r="AP22" s="49"/>
      <c r="AQ22" s="52"/>
      <c r="AR22" s="51"/>
      <c r="AS22" s="46"/>
      <c r="AT22" s="46"/>
      <c r="AU22" s="46"/>
      <c r="AV22" s="46"/>
      <c r="AW22" s="46"/>
      <c r="AX22" s="46"/>
      <c r="AY22" s="46"/>
      <c r="AZ22" s="46"/>
      <c r="BA22" s="46"/>
      <c r="BB22" s="46"/>
      <c r="BC22" s="46"/>
      <c r="BD22" s="46"/>
    </row>
    <row r="23" spans="3:56" ht="18.75" x14ac:dyDescent="0.25">
      <c r="C23" s="140"/>
      <c r="D23" s="142"/>
      <c r="E23" s="51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U23" s="48"/>
      <c r="V23" s="50"/>
      <c r="W23" s="51"/>
      <c r="X23" s="46"/>
      <c r="Y23" s="46"/>
      <c r="Z23" s="46"/>
      <c r="AA23" s="46"/>
      <c r="AB23" s="46"/>
      <c r="AC23" s="46"/>
      <c r="AD23" s="46"/>
      <c r="AE23" s="46"/>
      <c r="AF23" s="46"/>
      <c r="AG23" s="46"/>
      <c r="AH23" s="46"/>
      <c r="AI23" s="46"/>
      <c r="AP23" s="48"/>
      <c r="AQ23" s="50"/>
      <c r="AR23" s="51"/>
      <c r="AS23" s="46"/>
      <c r="AT23" s="46"/>
      <c r="AU23" s="46"/>
      <c r="AV23" s="46"/>
      <c r="AW23" s="46"/>
      <c r="AX23" s="46"/>
      <c r="AY23" s="46"/>
      <c r="AZ23" s="46"/>
      <c r="BA23" s="46"/>
      <c r="BB23" s="46"/>
      <c r="BC23" s="46"/>
      <c r="BD23" s="46"/>
    </row>
    <row r="24" spans="3:56" ht="18.75" x14ac:dyDescent="0.25">
      <c r="C24" s="141"/>
      <c r="D24" s="143"/>
      <c r="E24" s="51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U24" s="49"/>
      <c r="V24" s="52"/>
      <c r="W24" s="51"/>
      <c r="X24" s="46"/>
      <c r="Y24" s="46"/>
      <c r="Z24" s="46"/>
      <c r="AA24" s="46"/>
      <c r="AB24" s="46"/>
      <c r="AC24" s="46"/>
      <c r="AD24" s="46"/>
      <c r="AE24" s="46"/>
      <c r="AF24" s="46"/>
      <c r="AG24" s="46"/>
      <c r="AH24" s="46"/>
      <c r="AI24" s="46"/>
      <c r="AP24" s="49"/>
      <c r="AQ24" s="52"/>
      <c r="AR24" s="51"/>
      <c r="AS24" s="46"/>
      <c r="AT24" s="46"/>
      <c r="AU24" s="46"/>
      <c r="AV24" s="46"/>
      <c r="AW24" s="46"/>
      <c r="AX24" s="46"/>
      <c r="AY24" s="46"/>
      <c r="AZ24" s="46"/>
      <c r="BA24" s="46"/>
      <c r="BB24" s="46"/>
      <c r="BC24" s="46"/>
      <c r="BD24" s="46"/>
    </row>
    <row r="25" spans="3:56" ht="18.75" x14ac:dyDescent="0.25">
      <c r="C25" s="140"/>
      <c r="D25" s="142"/>
      <c r="E25" s="51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U25" s="48"/>
      <c r="V25" s="50"/>
      <c r="W25" s="51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46"/>
      <c r="AI25" s="46"/>
      <c r="AP25" s="48"/>
      <c r="AQ25" s="50"/>
      <c r="AR25" s="51"/>
      <c r="AS25" s="46"/>
      <c r="AT25" s="46"/>
      <c r="AU25" s="46"/>
      <c r="AV25" s="46"/>
      <c r="AW25" s="46"/>
      <c r="AX25" s="46"/>
      <c r="AY25" s="46"/>
      <c r="AZ25" s="46"/>
      <c r="BA25" s="46"/>
      <c r="BB25" s="46"/>
      <c r="BC25" s="46"/>
      <c r="BD25" s="46"/>
    </row>
    <row r="26" spans="3:56" ht="18.75" x14ac:dyDescent="0.25">
      <c r="C26" s="141"/>
      <c r="D26" s="143"/>
      <c r="E26" s="51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U26" s="49"/>
      <c r="V26" s="52"/>
      <c r="W26" s="51"/>
      <c r="X26" s="46"/>
      <c r="Y26" s="46"/>
      <c r="Z26" s="46"/>
      <c r="AA26" s="46"/>
      <c r="AB26" s="46"/>
      <c r="AC26" s="46"/>
      <c r="AD26" s="46"/>
      <c r="AE26" s="46"/>
      <c r="AF26" s="46"/>
      <c r="AG26" s="46"/>
      <c r="AH26" s="46"/>
      <c r="AI26" s="46"/>
      <c r="AP26" s="49"/>
      <c r="AQ26" s="52"/>
      <c r="AR26" s="51"/>
      <c r="AS26" s="46"/>
      <c r="AT26" s="46"/>
      <c r="AU26" s="46"/>
      <c r="AV26" s="46"/>
      <c r="AW26" s="46"/>
      <c r="AX26" s="46"/>
      <c r="AY26" s="46"/>
      <c r="AZ26" s="46"/>
      <c r="BA26" s="46"/>
      <c r="BB26" s="46"/>
      <c r="BC26" s="46"/>
      <c r="BD26" s="46"/>
    </row>
    <row r="27" spans="3:56" ht="18.75" x14ac:dyDescent="0.25">
      <c r="C27" s="140"/>
      <c r="D27" s="142"/>
      <c r="E27" s="51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U27" s="48"/>
      <c r="V27" s="50"/>
      <c r="W27" s="51"/>
      <c r="X27" s="46"/>
      <c r="Y27" s="46"/>
      <c r="Z27" s="46"/>
      <c r="AA27" s="46"/>
      <c r="AB27" s="46"/>
      <c r="AC27" s="46"/>
      <c r="AD27" s="46"/>
      <c r="AE27" s="46"/>
      <c r="AF27" s="46"/>
      <c r="AG27" s="46"/>
      <c r="AH27" s="46"/>
      <c r="AI27" s="46"/>
      <c r="AP27" s="48"/>
      <c r="AQ27" s="50"/>
      <c r="AR27" s="51"/>
      <c r="AS27" s="46"/>
      <c r="AT27" s="46"/>
      <c r="AU27" s="46"/>
      <c r="AV27" s="46"/>
      <c r="AW27" s="46"/>
      <c r="AX27" s="46"/>
      <c r="AY27" s="46"/>
      <c r="AZ27" s="46"/>
      <c r="BA27" s="46"/>
      <c r="BB27" s="46"/>
      <c r="BC27" s="46"/>
      <c r="BD27" s="46"/>
    </row>
    <row r="28" spans="3:56" ht="18.75" x14ac:dyDescent="0.25">
      <c r="C28" s="141"/>
      <c r="D28" s="143"/>
      <c r="E28" s="51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U28" s="49"/>
      <c r="V28" s="52"/>
      <c r="W28" s="51"/>
      <c r="X28" s="46"/>
      <c r="Y28" s="46"/>
      <c r="Z28" s="46"/>
      <c r="AA28" s="46"/>
      <c r="AB28" s="46"/>
      <c r="AC28" s="46"/>
      <c r="AD28" s="46"/>
      <c r="AE28" s="46"/>
      <c r="AF28" s="46"/>
      <c r="AG28" s="46"/>
      <c r="AH28" s="46"/>
      <c r="AI28" s="46"/>
      <c r="AP28" s="49"/>
      <c r="AQ28" s="52"/>
      <c r="AR28" s="51"/>
      <c r="AS28" s="46"/>
      <c r="AT28" s="46"/>
      <c r="AU28" s="46"/>
      <c r="AV28" s="46"/>
      <c r="AW28" s="46"/>
      <c r="AX28" s="46"/>
      <c r="AY28" s="46"/>
      <c r="AZ28" s="46"/>
      <c r="BA28" s="46"/>
      <c r="BB28" s="46"/>
      <c r="BC28" s="46"/>
      <c r="BD28" s="46"/>
    </row>
    <row r="29" spans="3:56" ht="18.75" x14ac:dyDescent="0.25">
      <c r="C29" s="140"/>
      <c r="D29" s="142"/>
      <c r="E29" s="51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U29" s="48"/>
      <c r="V29" s="50"/>
      <c r="W29" s="51"/>
      <c r="X29" s="46"/>
      <c r="Y29" s="46"/>
      <c r="Z29" s="46"/>
      <c r="AA29" s="46"/>
      <c r="AB29" s="46"/>
      <c r="AC29" s="46"/>
      <c r="AD29" s="46"/>
      <c r="AE29" s="46"/>
      <c r="AF29" s="46"/>
      <c r="AG29" s="46"/>
      <c r="AH29" s="46"/>
      <c r="AI29" s="46"/>
      <c r="AP29" s="48"/>
      <c r="AQ29" s="50"/>
      <c r="AR29" s="51"/>
      <c r="AS29" s="46"/>
      <c r="AT29" s="46"/>
      <c r="AU29" s="46"/>
      <c r="AV29" s="46"/>
      <c r="AW29" s="46"/>
      <c r="AX29" s="46"/>
      <c r="AY29" s="46"/>
      <c r="AZ29" s="46"/>
      <c r="BA29" s="46"/>
      <c r="BB29" s="46"/>
      <c r="BC29" s="46"/>
      <c r="BD29" s="46"/>
    </row>
    <row r="30" spans="3:56" ht="18.75" x14ac:dyDescent="0.25">
      <c r="C30" s="141"/>
      <c r="D30" s="143"/>
      <c r="E30" s="51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U30" s="49"/>
      <c r="V30" s="52"/>
      <c r="W30" s="51"/>
      <c r="X30" s="46"/>
      <c r="Y30" s="46"/>
      <c r="Z30" s="46"/>
      <c r="AA30" s="46"/>
      <c r="AB30" s="46"/>
      <c r="AC30" s="46"/>
      <c r="AD30" s="46"/>
      <c r="AE30" s="46"/>
      <c r="AF30" s="46"/>
      <c r="AG30" s="46"/>
      <c r="AH30" s="46"/>
      <c r="AI30" s="46"/>
      <c r="AP30" s="49"/>
      <c r="AQ30" s="52"/>
      <c r="AR30" s="51"/>
      <c r="AS30" s="46"/>
      <c r="AT30" s="46"/>
      <c r="AU30" s="46"/>
      <c r="AV30" s="46"/>
      <c r="AW30" s="46"/>
      <c r="AX30" s="46"/>
      <c r="AY30" s="46"/>
      <c r="AZ30" s="46"/>
      <c r="BA30" s="46"/>
      <c r="BB30" s="46"/>
      <c r="BC30" s="46"/>
      <c r="BD30" s="46"/>
    </row>
    <row r="31" spans="3:56" ht="18.75" x14ac:dyDescent="0.25">
      <c r="C31" s="140"/>
      <c r="D31" s="142"/>
      <c r="E31" s="51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U31" s="140"/>
      <c r="V31" s="142"/>
      <c r="W31" s="51"/>
      <c r="X31" s="46"/>
      <c r="Y31" s="46"/>
      <c r="Z31" s="46"/>
      <c r="AA31" s="46"/>
      <c r="AB31" s="46"/>
      <c r="AC31" s="46"/>
      <c r="AD31" s="46"/>
      <c r="AE31" s="46"/>
      <c r="AF31" s="46"/>
      <c r="AG31" s="46"/>
      <c r="AH31" s="46"/>
      <c r="AI31" s="46"/>
      <c r="AP31" s="140"/>
      <c r="AQ31" s="142"/>
      <c r="AR31" s="51"/>
      <c r="AS31" s="46"/>
      <c r="AT31" s="46"/>
      <c r="AU31" s="46"/>
      <c r="AV31" s="46"/>
      <c r="AW31" s="46"/>
      <c r="AX31" s="46"/>
      <c r="AY31" s="46"/>
      <c r="AZ31" s="46"/>
      <c r="BA31" s="46"/>
      <c r="BB31" s="46"/>
      <c r="BC31" s="46"/>
      <c r="BD31" s="46"/>
    </row>
    <row r="32" spans="3:56" ht="18.75" x14ac:dyDescent="0.25">
      <c r="C32" s="141"/>
      <c r="D32" s="143"/>
      <c r="E32" s="51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U32" s="141"/>
      <c r="V32" s="143"/>
      <c r="W32" s="51"/>
      <c r="X32" s="46"/>
      <c r="Y32" s="46"/>
      <c r="Z32" s="46"/>
      <c r="AA32" s="46"/>
      <c r="AB32" s="46"/>
      <c r="AC32" s="46"/>
      <c r="AD32" s="46"/>
      <c r="AE32" s="46"/>
      <c r="AF32" s="46"/>
      <c r="AG32" s="46"/>
      <c r="AH32" s="46"/>
      <c r="AI32" s="46"/>
      <c r="AP32" s="141"/>
      <c r="AQ32" s="143"/>
      <c r="AR32" s="51"/>
      <c r="AS32" s="46"/>
      <c r="AT32" s="46"/>
      <c r="AU32" s="46"/>
      <c r="AV32" s="46"/>
      <c r="AW32" s="46"/>
      <c r="AX32" s="46"/>
      <c r="AY32" s="46"/>
      <c r="AZ32" s="46"/>
      <c r="BA32" s="46"/>
      <c r="BB32" s="46"/>
      <c r="BC32" s="46"/>
      <c r="BD32" s="46"/>
    </row>
    <row r="33" spans="3:56" ht="18.75" x14ac:dyDescent="0.25">
      <c r="C33" s="140"/>
      <c r="D33" s="142"/>
      <c r="E33" s="51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U33" s="140"/>
      <c r="V33" s="142"/>
      <c r="W33" s="51"/>
      <c r="X33" s="46"/>
      <c r="Y33" s="46"/>
      <c r="Z33" s="46"/>
      <c r="AA33" s="46"/>
      <c r="AB33" s="46"/>
      <c r="AC33" s="46"/>
      <c r="AD33" s="46"/>
      <c r="AE33" s="46"/>
      <c r="AF33" s="46"/>
      <c r="AG33" s="46"/>
      <c r="AH33" s="46"/>
      <c r="AI33" s="46"/>
      <c r="AP33" s="140"/>
      <c r="AQ33" s="142"/>
      <c r="AR33" s="51"/>
      <c r="AS33" s="46"/>
      <c r="AT33" s="46"/>
      <c r="AU33" s="46"/>
      <c r="AV33" s="46"/>
      <c r="AW33" s="46"/>
      <c r="AX33" s="46"/>
      <c r="AY33" s="46"/>
      <c r="AZ33" s="46"/>
      <c r="BA33" s="46"/>
      <c r="BB33" s="46"/>
      <c r="BC33" s="46"/>
      <c r="BD33" s="46"/>
    </row>
    <row r="34" spans="3:56" ht="18.75" x14ac:dyDescent="0.25">
      <c r="C34" s="141"/>
      <c r="D34" s="143"/>
      <c r="E34" s="51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U34" s="141"/>
      <c r="V34" s="143"/>
      <c r="W34" s="51"/>
      <c r="X34" s="46"/>
      <c r="Y34" s="46"/>
      <c r="Z34" s="46"/>
      <c r="AA34" s="46"/>
      <c r="AB34" s="46"/>
      <c r="AC34" s="46"/>
      <c r="AD34" s="46"/>
      <c r="AE34" s="46"/>
      <c r="AF34" s="46"/>
      <c r="AG34" s="46"/>
      <c r="AH34" s="46"/>
      <c r="AI34" s="46"/>
      <c r="AP34" s="141"/>
      <c r="AQ34" s="143"/>
      <c r="AR34" s="51"/>
      <c r="AS34" s="46"/>
      <c r="AT34" s="46"/>
      <c r="AU34" s="46"/>
      <c r="AV34" s="46"/>
      <c r="AW34" s="46"/>
      <c r="AX34" s="46"/>
      <c r="AY34" s="46"/>
      <c r="AZ34" s="46"/>
      <c r="BA34" s="46"/>
      <c r="BB34" s="46"/>
      <c r="BC34" s="46"/>
      <c r="BD34" s="46"/>
    </row>
  </sheetData>
  <mergeCells count="55">
    <mergeCell ref="D17:D18"/>
    <mergeCell ref="D19:D20"/>
    <mergeCell ref="D21:D22"/>
    <mergeCell ref="D23:D24"/>
    <mergeCell ref="D25:D26"/>
    <mergeCell ref="U33:U34"/>
    <mergeCell ref="V33:V34"/>
    <mergeCell ref="Y4:AE5"/>
    <mergeCell ref="U7:U8"/>
    <mergeCell ref="V7:V8"/>
    <mergeCell ref="U9:U10"/>
    <mergeCell ref="U11:U12"/>
    <mergeCell ref="U13:U14"/>
    <mergeCell ref="U31:U32"/>
    <mergeCell ref="V31:V32"/>
    <mergeCell ref="C33:C34"/>
    <mergeCell ref="D33:D34"/>
    <mergeCell ref="G4:M5"/>
    <mergeCell ref="C7:C8"/>
    <mergeCell ref="C9:C10"/>
    <mergeCell ref="D7:D8"/>
    <mergeCell ref="C11:C12"/>
    <mergeCell ref="C13:C14"/>
    <mergeCell ref="C31:C32"/>
    <mergeCell ref="D31:D32"/>
    <mergeCell ref="D9:D10"/>
    <mergeCell ref="D11:D12"/>
    <mergeCell ref="D13:D14"/>
    <mergeCell ref="D15:D16"/>
    <mergeCell ref="D27:D28"/>
    <mergeCell ref="D29:D30"/>
    <mergeCell ref="AQ31:AQ32"/>
    <mergeCell ref="AP11:AP12"/>
    <mergeCell ref="AP13:AP14"/>
    <mergeCell ref="AP31:AP32"/>
    <mergeCell ref="AP33:AP34"/>
    <mergeCell ref="AQ33:AQ34"/>
    <mergeCell ref="C15:C16"/>
    <mergeCell ref="BK4:BQ5"/>
    <mergeCell ref="BG7:BG8"/>
    <mergeCell ref="BH7:BH8"/>
    <mergeCell ref="BG9:BG10"/>
    <mergeCell ref="BH9:BH10"/>
    <mergeCell ref="AT4:AZ5"/>
    <mergeCell ref="AP7:AP8"/>
    <mergeCell ref="AQ7:AQ8"/>
    <mergeCell ref="AP9:AP10"/>
    <mergeCell ref="AQ9:AQ10"/>
    <mergeCell ref="C27:C28"/>
    <mergeCell ref="C29:C30"/>
    <mergeCell ref="C17:C18"/>
    <mergeCell ref="C19:C20"/>
    <mergeCell ref="C21:C22"/>
    <mergeCell ref="C23:C24"/>
    <mergeCell ref="C25:C2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3D726-B2E5-4970-9945-3B8BDC288854}">
  <dimension ref="D3:BC38"/>
  <sheetViews>
    <sheetView rightToLeft="1" topLeftCell="AI1" workbookViewId="0">
      <selection activeCell="AS25" sqref="AS25"/>
    </sheetView>
  </sheetViews>
  <sheetFormatPr defaultColWidth="11.42578125" defaultRowHeight="15" x14ac:dyDescent="0.25"/>
  <cols>
    <col min="4" max="4" width="18.7109375" customWidth="1"/>
    <col min="5" max="5" width="17.28515625" customWidth="1"/>
    <col min="6" max="7" width="20" bestFit="1" customWidth="1"/>
    <col min="24" max="24" width="21.140625" customWidth="1"/>
    <col min="25" max="25" width="20" customWidth="1"/>
    <col min="26" max="26" width="21.42578125" customWidth="1"/>
    <col min="27" max="27" width="20" bestFit="1" customWidth="1"/>
    <col min="41" max="41" width="20.140625" bestFit="1" customWidth="1"/>
    <col min="42" max="42" width="13" bestFit="1" customWidth="1"/>
    <col min="43" max="44" width="20" bestFit="1" customWidth="1"/>
  </cols>
  <sheetData>
    <row r="3" spans="4:55" ht="18.75" x14ac:dyDescent="0.3">
      <c r="X3" s="53"/>
      <c r="Y3" s="53"/>
      <c r="Z3" s="53"/>
      <c r="AA3" s="53"/>
      <c r="AB3" s="144" t="s">
        <v>691</v>
      </c>
      <c r="AC3" s="144"/>
      <c r="AD3" s="144"/>
      <c r="AE3" s="144"/>
      <c r="AF3" s="144"/>
      <c r="AG3" s="144"/>
      <c r="AH3" s="145"/>
      <c r="AI3" s="53"/>
      <c r="AJ3" s="53"/>
      <c r="AK3" s="53"/>
      <c r="AL3" s="53"/>
      <c r="AO3" s="53"/>
      <c r="AP3" s="53"/>
      <c r="AQ3" s="53"/>
      <c r="AR3" s="53"/>
      <c r="AS3" s="144" t="s">
        <v>687</v>
      </c>
      <c r="AT3" s="144"/>
      <c r="AU3" s="144"/>
      <c r="AV3" s="144"/>
      <c r="AW3" s="144"/>
      <c r="AX3" s="144"/>
      <c r="AY3" s="145"/>
      <c r="AZ3" s="53"/>
      <c r="BA3" s="53"/>
      <c r="BB3" s="53"/>
      <c r="BC3" s="53"/>
    </row>
    <row r="4" spans="4:55" ht="18.75" x14ac:dyDescent="0.3">
      <c r="X4" s="53"/>
      <c r="Y4" s="53"/>
      <c r="Z4" s="53"/>
      <c r="AA4" s="53"/>
      <c r="AB4" s="146"/>
      <c r="AC4" s="146"/>
      <c r="AD4" s="146"/>
      <c r="AE4" s="146"/>
      <c r="AF4" s="146"/>
      <c r="AG4" s="146"/>
      <c r="AH4" s="147"/>
      <c r="AI4" s="53"/>
      <c r="AJ4" s="53"/>
      <c r="AK4" s="53"/>
      <c r="AL4" s="53"/>
      <c r="AO4" s="53"/>
      <c r="AP4" s="53"/>
      <c r="AQ4" s="53"/>
      <c r="AR4" s="53"/>
      <c r="AS4" s="146"/>
      <c r="AT4" s="146"/>
      <c r="AU4" s="146"/>
      <c r="AV4" s="146"/>
      <c r="AW4" s="146"/>
      <c r="AX4" s="146"/>
      <c r="AY4" s="147"/>
      <c r="AZ4" s="53"/>
      <c r="BA4" s="53"/>
      <c r="BB4" s="53"/>
      <c r="BC4" s="53"/>
    </row>
    <row r="5" spans="4:55" ht="21" x14ac:dyDescent="0.35">
      <c r="X5" s="56" t="s">
        <v>215</v>
      </c>
      <c r="Y5" s="7" t="s">
        <v>1</v>
      </c>
      <c r="Z5" s="7" t="s">
        <v>2</v>
      </c>
      <c r="AA5" s="7" t="s">
        <v>3</v>
      </c>
      <c r="AB5" s="1" t="s">
        <v>4</v>
      </c>
      <c r="AC5" s="1" t="s">
        <v>5</v>
      </c>
      <c r="AD5" s="1" t="s">
        <v>6</v>
      </c>
      <c r="AE5" s="1" t="s">
        <v>7</v>
      </c>
      <c r="AF5" s="1" t="s">
        <v>8</v>
      </c>
      <c r="AG5" s="1" t="s">
        <v>9</v>
      </c>
      <c r="AH5" s="1" t="s">
        <v>10</v>
      </c>
      <c r="AI5" s="1" t="s">
        <v>11</v>
      </c>
      <c r="AJ5" s="1" t="s">
        <v>12</v>
      </c>
      <c r="AK5" s="1" t="s">
        <v>13</v>
      </c>
      <c r="AL5" s="1" t="s">
        <v>14</v>
      </c>
      <c r="AO5" s="56" t="s">
        <v>215</v>
      </c>
      <c r="AP5" s="7" t="s">
        <v>1</v>
      </c>
      <c r="AQ5" s="7" t="s">
        <v>2</v>
      </c>
      <c r="AR5" s="7" t="s">
        <v>3</v>
      </c>
      <c r="AS5" s="1" t="s">
        <v>4</v>
      </c>
      <c r="AT5" s="1" t="s">
        <v>5</v>
      </c>
      <c r="AU5" s="1" t="s">
        <v>6</v>
      </c>
      <c r="AV5" s="1" t="s">
        <v>7</v>
      </c>
      <c r="AW5" s="1" t="s">
        <v>8</v>
      </c>
      <c r="AX5" s="1" t="s">
        <v>9</v>
      </c>
      <c r="AY5" s="1" t="s">
        <v>10</v>
      </c>
      <c r="AZ5" s="1" t="s">
        <v>11</v>
      </c>
      <c r="BA5" s="1" t="s">
        <v>12</v>
      </c>
      <c r="BB5" s="1" t="s">
        <v>13</v>
      </c>
      <c r="BC5" s="1" t="s">
        <v>14</v>
      </c>
    </row>
    <row r="6" spans="4:55" ht="18.75" x14ac:dyDescent="0.3">
      <c r="D6" s="53"/>
      <c r="E6" s="53"/>
      <c r="F6" s="53"/>
      <c r="G6" s="53"/>
      <c r="H6" s="144" t="s">
        <v>690</v>
      </c>
      <c r="I6" s="144"/>
      <c r="J6" s="144"/>
      <c r="K6" s="144"/>
      <c r="L6" s="144"/>
      <c r="M6" s="144"/>
      <c r="N6" s="145"/>
      <c r="O6" s="53"/>
      <c r="P6" s="53"/>
      <c r="Q6" s="53"/>
      <c r="R6" s="53"/>
      <c r="X6" s="140" t="s">
        <v>1085</v>
      </c>
      <c r="Y6" s="142" t="s">
        <v>1086</v>
      </c>
      <c r="Z6" s="30">
        <v>250</v>
      </c>
      <c r="AA6" s="51">
        <v>1500</v>
      </c>
      <c r="AB6" s="51"/>
      <c r="AC6" s="51"/>
      <c r="AD6" s="46"/>
      <c r="AE6" s="46"/>
      <c r="AF6" s="46"/>
      <c r="AG6" s="46"/>
      <c r="AH6" s="46"/>
      <c r="AI6" s="46"/>
      <c r="AJ6" s="46"/>
      <c r="AK6" s="46"/>
      <c r="AL6" s="46"/>
      <c r="AO6" s="140"/>
      <c r="AP6" s="142"/>
      <c r="AQ6" s="51"/>
      <c r="AR6" s="46"/>
      <c r="AS6" s="51"/>
      <c r="AT6" s="51"/>
      <c r="AU6" s="46"/>
      <c r="AV6" s="46"/>
      <c r="AW6" s="46"/>
      <c r="AX6" s="46"/>
      <c r="AY6" s="46"/>
      <c r="AZ6" s="46"/>
      <c r="BA6" s="46"/>
      <c r="BB6" s="46"/>
      <c r="BC6" s="46"/>
    </row>
    <row r="7" spans="4:55" ht="18.75" customHeight="1" x14ac:dyDescent="0.3">
      <c r="D7" s="53"/>
      <c r="E7" s="53"/>
      <c r="F7" s="53"/>
      <c r="G7" s="53"/>
      <c r="H7" s="146"/>
      <c r="I7" s="146"/>
      <c r="J7" s="146"/>
      <c r="K7" s="146"/>
      <c r="L7" s="146"/>
      <c r="M7" s="146"/>
      <c r="N7" s="147"/>
      <c r="O7" s="53"/>
      <c r="P7" s="53"/>
      <c r="Q7" s="53"/>
      <c r="R7" s="53"/>
      <c r="X7" s="141"/>
      <c r="Y7" s="143"/>
      <c r="Z7" s="30" t="s">
        <v>1087</v>
      </c>
      <c r="AA7" s="30" t="s">
        <v>1087</v>
      </c>
      <c r="AB7" s="51"/>
      <c r="AC7" s="51"/>
      <c r="AD7" s="46"/>
      <c r="AE7" s="46"/>
      <c r="AF7" s="46"/>
      <c r="AG7" s="46"/>
      <c r="AH7" s="46"/>
      <c r="AI7" s="46"/>
      <c r="AJ7" s="46"/>
      <c r="AK7" s="46"/>
      <c r="AL7" s="46"/>
      <c r="AO7" s="141"/>
      <c r="AP7" s="143"/>
      <c r="AQ7" s="51"/>
      <c r="AR7" s="51"/>
      <c r="AS7" s="51"/>
      <c r="AT7" s="51"/>
      <c r="AU7" s="46"/>
      <c r="AV7" s="46"/>
      <c r="AW7" s="46"/>
      <c r="AX7" s="46"/>
      <c r="AY7" s="46"/>
      <c r="AZ7" s="46"/>
      <c r="BA7" s="46"/>
      <c r="BB7" s="46"/>
      <c r="BC7" s="46"/>
    </row>
    <row r="8" spans="4:55" ht="21" customHeight="1" x14ac:dyDescent="0.35">
      <c r="D8" s="56" t="s">
        <v>215</v>
      </c>
      <c r="E8" s="7" t="s">
        <v>1</v>
      </c>
      <c r="F8" s="7" t="s">
        <v>2</v>
      </c>
      <c r="G8" s="7" t="s">
        <v>3</v>
      </c>
      <c r="H8" s="1" t="s">
        <v>4</v>
      </c>
      <c r="I8" s="1" t="s">
        <v>5</v>
      </c>
      <c r="J8" s="1" t="s">
        <v>6</v>
      </c>
      <c r="K8" s="1" t="s">
        <v>7</v>
      </c>
      <c r="L8" s="1" t="s">
        <v>8</v>
      </c>
      <c r="M8" s="1" t="s">
        <v>9</v>
      </c>
      <c r="N8" s="1" t="s">
        <v>10</v>
      </c>
      <c r="O8" s="1" t="s">
        <v>11</v>
      </c>
      <c r="P8" s="1" t="s">
        <v>12</v>
      </c>
      <c r="Q8" s="1" t="s">
        <v>13</v>
      </c>
      <c r="R8" s="1" t="s">
        <v>14</v>
      </c>
      <c r="X8" s="140"/>
      <c r="Y8" s="50"/>
      <c r="Z8" s="51"/>
      <c r="AA8" s="46"/>
      <c r="AB8" s="46"/>
      <c r="AC8" s="46"/>
      <c r="AD8" s="46"/>
      <c r="AE8" s="46"/>
      <c r="AF8" s="46"/>
      <c r="AG8" s="46"/>
      <c r="AH8" s="46"/>
      <c r="AI8" s="46"/>
      <c r="AJ8" s="46"/>
      <c r="AK8" s="46"/>
      <c r="AL8" s="46"/>
      <c r="AO8" s="140"/>
      <c r="AP8" s="142"/>
      <c r="AQ8" s="51"/>
      <c r="AR8" s="46"/>
      <c r="AS8" s="46"/>
      <c r="AT8" s="46"/>
      <c r="AU8" s="46"/>
      <c r="AV8" s="46"/>
      <c r="AW8" s="46"/>
      <c r="AX8" s="46"/>
      <c r="AY8" s="46"/>
      <c r="AZ8" s="46"/>
      <c r="BA8" s="46"/>
      <c r="BB8" s="46"/>
      <c r="BC8" s="46"/>
    </row>
    <row r="9" spans="4:55" ht="18.75" x14ac:dyDescent="0.25">
      <c r="D9" s="140" t="s">
        <v>1369</v>
      </c>
      <c r="E9" s="140"/>
      <c r="F9" s="30">
        <v>250</v>
      </c>
      <c r="G9" s="46">
        <v>1500</v>
      </c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X9" s="141"/>
      <c r="Y9" s="52"/>
      <c r="Z9" s="51"/>
      <c r="AA9" s="51"/>
      <c r="AB9" s="46"/>
      <c r="AC9" s="46"/>
      <c r="AD9" s="46"/>
      <c r="AE9" s="46"/>
      <c r="AF9" s="46"/>
      <c r="AG9" s="46"/>
      <c r="AH9" s="46"/>
      <c r="AI9" s="46"/>
      <c r="AJ9" s="46"/>
      <c r="AK9" s="46"/>
      <c r="AL9" s="46"/>
      <c r="AO9" s="141"/>
      <c r="AP9" s="143"/>
      <c r="AQ9" s="51"/>
      <c r="AR9" s="51"/>
      <c r="AS9" s="46"/>
      <c r="AT9" s="46"/>
      <c r="AU9" s="46"/>
      <c r="AV9" s="46"/>
      <c r="AW9" s="46"/>
      <c r="AX9" s="46"/>
      <c r="AY9" s="46"/>
      <c r="AZ9" s="46"/>
      <c r="BA9" s="46"/>
      <c r="BB9" s="46"/>
      <c r="BC9" s="46"/>
    </row>
    <row r="10" spans="4:55" ht="18.75" x14ac:dyDescent="0.25">
      <c r="D10" s="141"/>
      <c r="E10" s="141"/>
      <c r="F10" s="30" t="s">
        <v>1370</v>
      </c>
      <c r="G10" s="30" t="s">
        <v>1370</v>
      </c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X10" s="140"/>
      <c r="Y10" s="50"/>
      <c r="Z10" s="51"/>
      <c r="AA10" s="46"/>
      <c r="AB10" s="46"/>
      <c r="AC10" s="46"/>
      <c r="AD10" s="46"/>
      <c r="AE10" s="46"/>
      <c r="AF10" s="46"/>
      <c r="AG10" s="46"/>
      <c r="AH10" s="46"/>
      <c r="AI10" s="46"/>
      <c r="AJ10" s="46"/>
      <c r="AK10" s="46"/>
      <c r="AL10" s="46"/>
      <c r="AO10" s="140"/>
      <c r="AP10" s="142"/>
      <c r="AQ10" s="51"/>
      <c r="AR10" s="46"/>
      <c r="AS10" s="46"/>
      <c r="AT10" s="46"/>
      <c r="AU10" s="46"/>
      <c r="AV10" s="46"/>
      <c r="AW10" s="46"/>
      <c r="AX10" s="46"/>
      <c r="AY10" s="46"/>
      <c r="AZ10" s="46"/>
      <c r="BA10" s="46"/>
      <c r="BB10" s="46"/>
      <c r="BC10" s="46"/>
    </row>
    <row r="11" spans="4:55" ht="18.75" x14ac:dyDescent="0.25">
      <c r="D11" s="140" t="s">
        <v>1366</v>
      </c>
      <c r="E11" s="142"/>
      <c r="F11" s="30">
        <v>250</v>
      </c>
      <c r="G11" s="51">
        <v>1500</v>
      </c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X11" s="141"/>
      <c r="Y11" s="52"/>
      <c r="Z11" s="51"/>
      <c r="AA11" s="46"/>
      <c r="AB11" s="46"/>
      <c r="AC11" s="46"/>
      <c r="AD11" s="46"/>
      <c r="AE11" s="46"/>
      <c r="AF11" s="46"/>
      <c r="AG11" s="46"/>
      <c r="AH11" s="46"/>
      <c r="AI11" s="46"/>
      <c r="AJ11" s="46"/>
      <c r="AK11" s="46"/>
      <c r="AL11" s="46"/>
      <c r="AO11" s="141"/>
      <c r="AP11" s="143"/>
      <c r="AQ11" s="51"/>
      <c r="AR11" s="51"/>
      <c r="AS11" s="46"/>
      <c r="AT11" s="46"/>
      <c r="AU11" s="46"/>
      <c r="AV11" s="46"/>
      <c r="AW11" s="46"/>
      <c r="AX11" s="46"/>
      <c r="AY11" s="46"/>
      <c r="AZ11" s="46"/>
      <c r="BA11" s="46"/>
      <c r="BB11" s="46"/>
      <c r="BC11" s="46"/>
    </row>
    <row r="12" spans="4:55" ht="18.75" x14ac:dyDescent="0.25">
      <c r="D12" s="141"/>
      <c r="E12" s="143"/>
      <c r="F12" s="30" t="s">
        <v>1367</v>
      </c>
      <c r="G12" s="30" t="s">
        <v>1367</v>
      </c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X12" s="140"/>
      <c r="Y12" s="50"/>
      <c r="Z12" s="51"/>
      <c r="AA12" s="46"/>
      <c r="AB12" s="46"/>
      <c r="AC12" s="46"/>
      <c r="AD12" s="46"/>
      <c r="AE12" s="46"/>
      <c r="AF12" s="46"/>
      <c r="AG12" s="46"/>
      <c r="AH12" s="46"/>
      <c r="AI12" s="46"/>
      <c r="AJ12" s="46"/>
      <c r="AK12" s="46"/>
      <c r="AL12" s="46"/>
      <c r="AO12" s="140"/>
      <c r="AP12" s="142"/>
      <c r="AQ12" s="51"/>
      <c r="AR12" s="46"/>
      <c r="AS12" s="46"/>
      <c r="AT12" s="46"/>
      <c r="AU12" s="46"/>
      <c r="AV12" s="46"/>
      <c r="AW12" s="46"/>
      <c r="AX12" s="46"/>
      <c r="AY12" s="46"/>
      <c r="AZ12" s="46"/>
      <c r="BA12" s="46"/>
      <c r="BB12" s="46"/>
      <c r="BC12" s="46"/>
    </row>
    <row r="13" spans="4:55" ht="18.75" x14ac:dyDescent="0.25">
      <c r="D13" s="140"/>
      <c r="E13" s="140"/>
      <c r="F13" s="51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X13" s="141"/>
      <c r="Y13" s="52"/>
      <c r="Z13" s="51"/>
      <c r="AA13" s="46"/>
      <c r="AB13" s="46"/>
      <c r="AC13" s="46"/>
      <c r="AD13" s="46"/>
      <c r="AE13" s="46"/>
      <c r="AF13" s="46"/>
      <c r="AG13" s="46"/>
      <c r="AH13" s="46"/>
      <c r="AI13" s="46"/>
      <c r="AJ13" s="46"/>
      <c r="AK13" s="46"/>
      <c r="AL13" s="46"/>
      <c r="AO13" s="141"/>
      <c r="AP13" s="143"/>
      <c r="AQ13" s="51"/>
      <c r="AR13" s="51"/>
      <c r="AS13" s="46"/>
      <c r="AT13" s="46"/>
      <c r="AU13" s="46"/>
      <c r="AV13" s="46"/>
      <c r="AW13" s="46"/>
      <c r="AX13" s="46"/>
      <c r="AY13" s="46"/>
      <c r="AZ13" s="46"/>
      <c r="BA13" s="46"/>
      <c r="BB13" s="46"/>
      <c r="BC13" s="46"/>
    </row>
    <row r="14" spans="4:55" ht="18.75" x14ac:dyDescent="0.25">
      <c r="D14" s="141"/>
      <c r="E14" s="141"/>
      <c r="F14" s="51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X14" s="48"/>
      <c r="Y14" s="50"/>
      <c r="Z14" s="51"/>
      <c r="AA14" s="46"/>
      <c r="AB14" s="46"/>
      <c r="AC14" s="46"/>
      <c r="AD14" s="46"/>
      <c r="AE14" s="46"/>
      <c r="AF14" s="46"/>
      <c r="AG14" s="46"/>
      <c r="AH14" s="46"/>
      <c r="AI14" s="46"/>
      <c r="AJ14" s="46"/>
      <c r="AK14" s="46"/>
      <c r="AL14" s="46"/>
      <c r="AO14" s="140"/>
      <c r="AP14" s="142"/>
      <c r="AQ14" s="51"/>
      <c r="AR14" s="46"/>
      <c r="AS14" s="46"/>
      <c r="AT14" s="46"/>
      <c r="AU14" s="46"/>
      <c r="AV14" s="46"/>
      <c r="AW14" s="46"/>
      <c r="AX14" s="46"/>
      <c r="AY14" s="46"/>
      <c r="AZ14" s="46"/>
      <c r="BA14" s="46"/>
      <c r="BB14" s="46"/>
      <c r="BC14" s="46"/>
    </row>
    <row r="15" spans="4:55" ht="18.75" x14ac:dyDescent="0.25">
      <c r="D15" s="140"/>
      <c r="E15" s="140"/>
      <c r="F15" s="51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X15" s="49"/>
      <c r="Y15" s="52"/>
      <c r="Z15" s="51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46"/>
      <c r="AO15" s="141"/>
      <c r="AP15" s="143"/>
      <c r="AQ15" s="51"/>
      <c r="AR15" s="51"/>
      <c r="AS15" s="46"/>
      <c r="AT15" s="46"/>
      <c r="AU15" s="46"/>
      <c r="AV15" s="46"/>
      <c r="AW15" s="46"/>
      <c r="AX15" s="46"/>
      <c r="AY15" s="46"/>
      <c r="AZ15" s="46"/>
      <c r="BA15" s="46"/>
      <c r="BB15" s="46"/>
      <c r="BC15" s="46"/>
    </row>
    <row r="16" spans="4:55" ht="18.75" x14ac:dyDescent="0.25">
      <c r="D16" s="141"/>
      <c r="E16" s="141"/>
      <c r="F16" s="51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X16" s="48"/>
      <c r="Y16" s="50"/>
      <c r="Z16" s="30"/>
      <c r="AA16" s="46"/>
      <c r="AB16" s="46"/>
      <c r="AC16" s="46"/>
      <c r="AD16" s="46"/>
      <c r="AE16" s="46"/>
      <c r="AF16" s="46"/>
      <c r="AG16" s="46"/>
      <c r="AH16" s="46"/>
      <c r="AI16" s="46"/>
      <c r="AJ16" s="46"/>
      <c r="AK16" s="46"/>
      <c r="AL16" s="46"/>
      <c r="AO16" s="140"/>
      <c r="AP16" s="142"/>
      <c r="AQ16" s="51"/>
      <c r="AR16" s="46"/>
      <c r="AS16" s="46"/>
      <c r="AT16" s="46"/>
      <c r="AU16" s="46"/>
      <c r="AV16" s="46"/>
      <c r="AW16" s="46"/>
      <c r="AX16" s="46"/>
      <c r="AY16" s="46"/>
      <c r="AZ16" s="46"/>
      <c r="BA16" s="46"/>
      <c r="BB16" s="46"/>
      <c r="BC16" s="46"/>
    </row>
    <row r="17" spans="4:55" ht="18.75" x14ac:dyDescent="0.25">
      <c r="D17" s="140"/>
      <c r="E17" s="140"/>
      <c r="F17" s="51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X17" s="49"/>
      <c r="Y17" s="52"/>
      <c r="Z17" s="30"/>
      <c r="AA17" s="46"/>
      <c r="AB17" s="46"/>
      <c r="AC17" s="46"/>
      <c r="AD17" s="46"/>
      <c r="AE17" s="46"/>
      <c r="AF17" s="46"/>
      <c r="AG17" s="46"/>
      <c r="AH17" s="46"/>
      <c r="AI17" s="46"/>
      <c r="AJ17" s="46"/>
      <c r="AK17" s="46"/>
      <c r="AL17" s="46"/>
      <c r="AO17" s="141"/>
      <c r="AP17" s="143"/>
      <c r="AQ17" s="51"/>
      <c r="AR17" s="51"/>
      <c r="AS17" s="46"/>
      <c r="AT17" s="46"/>
      <c r="AU17" s="46"/>
      <c r="AV17" s="46"/>
      <c r="AW17" s="46"/>
      <c r="AX17" s="46"/>
      <c r="AY17" s="46"/>
      <c r="AZ17" s="46"/>
      <c r="BA17" s="46"/>
      <c r="BB17" s="46"/>
      <c r="BC17" s="46"/>
    </row>
    <row r="18" spans="4:55" ht="18.75" x14ac:dyDescent="0.25">
      <c r="D18" s="141"/>
      <c r="E18" s="141"/>
      <c r="F18" s="51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X18" s="48"/>
      <c r="Y18" s="50"/>
      <c r="Z18" s="51"/>
      <c r="AA18" s="46"/>
      <c r="AB18" s="46"/>
      <c r="AC18" s="46"/>
      <c r="AD18" s="46"/>
      <c r="AE18" s="46"/>
      <c r="AF18" s="46"/>
      <c r="AG18" s="46"/>
      <c r="AH18" s="46"/>
      <c r="AI18" s="46"/>
      <c r="AJ18" s="46"/>
      <c r="AK18" s="46"/>
      <c r="AL18" s="46"/>
      <c r="AO18" s="140"/>
      <c r="AP18" s="142"/>
      <c r="AQ18" s="51"/>
      <c r="AR18" s="46"/>
      <c r="AS18" s="46"/>
      <c r="AT18" s="46"/>
      <c r="AU18" s="46"/>
      <c r="AV18" s="46"/>
      <c r="AW18" s="46"/>
      <c r="AX18" s="46"/>
      <c r="AY18" s="46"/>
      <c r="AZ18" s="46"/>
      <c r="BA18" s="46"/>
      <c r="BB18" s="46"/>
      <c r="BC18" s="46"/>
    </row>
    <row r="19" spans="4:55" ht="18.75" x14ac:dyDescent="0.25">
      <c r="D19" s="140"/>
      <c r="E19" s="140"/>
      <c r="F19" s="30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X19" s="49"/>
      <c r="Y19" s="52"/>
      <c r="Z19" s="51"/>
      <c r="AA19" s="46"/>
      <c r="AB19" s="46"/>
      <c r="AC19" s="46"/>
      <c r="AD19" s="46"/>
      <c r="AE19" s="46"/>
      <c r="AF19" s="46"/>
      <c r="AG19" s="46"/>
      <c r="AH19" s="46"/>
      <c r="AI19" s="46"/>
      <c r="AJ19" s="46"/>
      <c r="AK19" s="46"/>
      <c r="AL19" s="46"/>
      <c r="AO19" s="141"/>
      <c r="AP19" s="143"/>
      <c r="AQ19" s="51"/>
      <c r="AR19" s="51"/>
      <c r="AS19" s="46"/>
      <c r="AT19" s="46"/>
      <c r="AU19" s="46"/>
      <c r="AV19" s="46"/>
      <c r="AW19" s="46"/>
      <c r="AX19" s="46"/>
      <c r="AY19" s="46"/>
      <c r="AZ19" s="46"/>
      <c r="BA19" s="46"/>
      <c r="BB19" s="46"/>
      <c r="BC19" s="46"/>
    </row>
    <row r="20" spans="4:55" ht="18.75" x14ac:dyDescent="0.25">
      <c r="D20" s="141"/>
      <c r="E20" s="141"/>
      <c r="F20" s="30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X20" s="48"/>
      <c r="Y20" s="50"/>
      <c r="Z20" s="51"/>
      <c r="AA20" s="46"/>
      <c r="AB20" s="46"/>
      <c r="AC20" s="46"/>
      <c r="AD20" s="46"/>
      <c r="AE20" s="46"/>
      <c r="AF20" s="46"/>
      <c r="AG20" s="46"/>
      <c r="AH20" s="46"/>
      <c r="AI20" s="46"/>
      <c r="AJ20" s="46"/>
      <c r="AK20" s="46"/>
      <c r="AL20" s="46"/>
      <c r="AO20" s="140"/>
      <c r="AP20" s="142"/>
      <c r="AQ20" s="51"/>
      <c r="AR20" s="46"/>
      <c r="AS20" s="46"/>
      <c r="AT20" s="46"/>
      <c r="AU20" s="46"/>
      <c r="AV20" s="46"/>
      <c r="AW20" s="46"/>
      <c r="AX20" s="46"/>
      <c r="AY20" s="46"/>
      <c r="AZ20" s="46"/>
      <c r="BA20" s="46"/>
      <c r="BB20" s="46"/>
      <c r="BC20" s="46"/>
    </row>
    <row r="21" spans="4:55" ht="18.75" x14ac:dyDescent="0.25">
      <c r="D21" s="140"/>
      <c r="E21" s="140"/>
      <c r="F21" s="51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X21" s="49"/>
      <c r="Y21" s="52"/>
      <c r="Z21" s="51"/>
      <c r="AA21" s="46"/>
      <c r="AB21" s="46"/>
      <c r="AC21" s="46"/>
      <c r="AD21" s="46"/>
      <c r="AE21" s="46"/>
      <c r="AF21" s="46"/>
      <c r="AG21" s="46"/>
      <c r="AH21" s="46"/>
      <c r="AI21" s="46"/>
      <c r="AJ21" s="46"/>
      <c r="AK21" s="46"/>
      <c r="AL21" s="46"/>
      <c r="AO21" s="141"/>
      <c r="AP21" s="143"/>
      <c r="AQ21" s="51"/>
      <c r="AR21" s="51"/>
      <c r="AS21" s="46"/>
      <c r="AT21" s="46"/>
      <c r="AU21" s="46"/>
      <c r="AV21" s="46"/>
      <c r="AW21" s="46"/>
      <c r="AX21" s="46"/>
      <c r="AY21" s="46"/>
      <c r="AZ21" s="46"/>
      <c r="BA21" s="46"/>
      <c r="BB21" s="46"/>
      <c r="BC21" s="46"/>
    </row>
    <row r="22" spans="4:55" ht="18.75" x14ac:dyDescent="0.25">
      <c r="D22" s="141"/>
      <c r="E22" s="141"/>
      <c r="F22" s="51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X22" s="48"/>
      <c r="Y22" s="50"/>
      <c r="Z22" s="51"/>
      <c r="AA22" s="46"/>
      <c r="AB22" s="46"/>
      <c r="AC22" s="46"/>
      <c r="AD22" s="46"/>
      <c r="AE22" s="46"/>
      <c r="AF22" s="46"/>
      <c r="AG22" s="46"/>
      <c r="AH22" s="46"/>
      <c r="AI22" s="46"/>
      <c r="AJ22" s="46"/>
      <c r="AK22" s="46"/>
      <c r="AL22" s="46"/>
      <c r="AO22" s="140"/>
      <c r="AP22" s="142"/>
      <c r="AQ22" s="51"/>
      <c r="AR22" s="46"/>
      <c r="AS22" s="46"/>
      <c r="AT22" s="46"/>
      <c r="AU22" s="46"/>
      <c r="AV22" s="46"/>
      <c r="AW22" s="46"/>
      <c r="AX22" s="46"/>
      <c r="AY22" s="46"/>
      <c r="AZ22" s="46"/>
      <c r="BA22" s="46"/>
      <c r="BB22" s="46"/>
      <c r="BC22" s="46"/>
    </row>
    <row r="23" spans="4:55" ht="18.75" x14ac:dyDescent="0.25">
      <c r="D23" s="140"/>
      <c r="E23" s="140"/>
      <c r="F23" s="51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X23" s="49"/>
      <c r="Y23" s="52"/>
      <c r="Z23" s="51"/>
      <c r="AA23" s="46"/>
      <c r="AB23" s="46"/>
      <c r="AC23" s="46"/>
      <c r="AD23" s="46"/>
      <c r="AE23" s="46"/>
      <c r="AF23" s="46"/>
      <c r="AG23" s="46"/>
      <c r="AH23" s="46"/>
      <c r="AI23" s="46"/>
      <c r="AJ23" s="46"/>
      <c r="AK23" s="46"/>
      <c r="AL23" s="46"/>
      <c r="AO23" s="141"/>
      <c r="AP23" s="143"/>
      <c r="AQ23" s="51"/>
      <c r="AR23" s="51"/>
      <c r="AS23" s="46"/>
      <c r="AT23" s="46"/>
      <c r="AU23" s="46"/>
      <c r="AV23" s="46"/>
      <c r="AW23" s="46"/>
      <c r="AX23" s="46"/>
      <c r="AY23" s="46"/>
      <c r="AZ23" s="46"/>
      <c r="BA23" s="46"/>
      <c r="BB23" s="46"/>
      <c r="BC23" s="46"/>
    </row>
    <row r="24" spans="4:55" ht="18.75" x14ac:dyDescent="0.25">
      <c r="D24" s="141"/>
      <c r="E24" s="141"/>
      <c r="F24" s="51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X24" s="28"/>
      <c r="Y24" s="51"/>
      <c r="Z24" s="51"/>
      <c r="AA24" s="46"/>
      <c r="AB24" s="46"/>
      <c r="AC24" s="46"/>
      <c r="AD24" s="46"/>
      <c r="AE24" s="46"/>
      <c r="AF24" s="46"/>
      <c r="AG24" s="46"/>
      <c r="AH24" s="46"/>
      <c r="AI24" s="46"/>
      <c r="AJ24" s="46"/>
      <c r="AK24" s="46"/>
      <c r="AL24" s="46"/>
    </row>
    <row r="25" spans="4:55" ht="18.75" x14ac:dyDescent="0.25">
      <c r="D25" s="140"/>
      <c r="E25" s="140"/>
      <c r="F25" s="51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</row>
    <row r="26" spans="4:55" ht="18.75" x14ac:dyDescent="0.25">
      <c r="D26" s="141"/>
      <c r="E26" s="141"/>
      <c r="F26" s="51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</row>
    <row r="27" spans="4:55" ht="18.75" x14ac:dyDescent="0.25">
      <c r="D27" s="140"/>
      <c r="E27" s="140"/>
      <c r="F27" s="51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</row>
    <row r="28" spans="4:55" ht="18.75" x14ac:dyDescent="0.25">
      <c r="D28" s="141"/>
      <c r="E28" s="141"/>
      <c r="F28" s="51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</row>
    <row r="29" spans="4:55" ht="18.75" x14ac:dyDescent="0.25">
      <c r="D29" s="140"/>
      <c r="E29" s="140"/>
      <c r="F29" s="51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</row>
    <row r="30" spans="4:55" ht="18.75" x14ac:dyDescent="0.25">
      <c r="D30" s="141"/>
      <c r="E30" s="141"/>
      <c r="F30" s="51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</row>
    <row r="31" spans="4:55" ht="18.75" x14ac:dyDescent="0.25">
      <c r="D31" s="140"/>
      <c r="E31" s="140"/>
      <c r="F31" s="51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</row>
    <row r="32" spans="4:55" ht="18.75" x14ac:dyDescent="0.25">
      <c r="D32" s="141"/>
      <c r="E32" s="141"/>
      <c r="F32" s="51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</row>
    <row r="33" spans="4:18" ht="18.75" x14ac:dyDescent="0.25">
      <c r="D33" s="140"/>
      <c r="E33" s="140"/>
      <c r="F33" s="51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</row>
    <row r="34" spans="4:18" ht="18.75" x14ac:dyDescent="0.25">
      <c r="D34" s="141"/>
      <c r="E34" s="141"/>
      <c r="F34" s="51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</row>
    <row r="35" spans="4:18" ht="18.75" x14ac:dyDescent="0.25">
      <c r="D35" s="140"/>
      <c r="E35" s="140"/>
      <c r="F35" s="51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</row>
    <row r="36" spans="4:18" ht="18.75" x14ac:dyDescent="0.25">
      <c r="D36" s="141"/>
      <c r="E36" s="141"/>
      <c r="F36" s="51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</row>
    <row r="37" spans="4:18" ht="18.75" x14ac:dyDescent="0.25">
      <c r="D37" s="140"/>
      <c r="E37" s="140"/>
      <c r="F37" s="51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</row>
    <row r="38" spans="4:18" ht="18.75" x14ac:dyDescent="0.25">
      <c r="D38" s="141"/>
      <c r="E38" s="141"/>
      <c r="F38" s="51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</row>
  </sheetData>
  <mergeCells count="56">
    <mergeCell ref="D31:D32"/>
    <mergeCell ref="E31:E32"/>
    <mergeCell ref="D37:D38"/>
    <mergeCell ref="E37:E38"/>
    <mergeCell ref="D33:D34"/>
    <mergeCell ref="E33:E34"/>
    <mergeCell ref="D35:D36"/>
    <mergeCell ref="E35:E36"/>
    <mergeCell ref="D27:D28"/>
    <mergeCell ref="D23:D24"/>
    <mergeCell ref="D29:D30"/>
    <mergeCell ref="E29:E30"/>
    <mergeCell ref="E27:E28"/>
    <mergeCell ref="E21:E22"/>
    <mergeCell ref="E23:E24"/>
    <mergeCell ref="E25:E26"/>
    <mergeCell ref="D17:D18"/>
    <mergeCell ref="D19:D20"/>
    <mergeCell ref="D21:D22"/>
    <mergeCell ref="E17:E18"/>
    <mergeCell ref="E19:E20"/>
    <mergeCell ref="D25:D26"/>
    <mergeCell ref="D15:D16"/>
    <mergeCell ref="D13:D14"/>
    <mergeCell ref="H6:N7"/>
    <mergeCell ref="D9:D10"/>
    <mergeCell ref="E9:E10"/>
    <mergeCell ref="E13:E14"/>
    <mergeCell ref="E15:E16"/>
    <mergeCell ref="AS3:AY4"/>
    <mergeCell ref="D11:D12"/>
    <mergeCell ref="E11:E12"/>
    <mergeCell ref="AO8:AO9"/>
    <mergeCell ref="AP8:AP9"/>
    <mergeCell ref="X12:X13"/>
    <mergeCell ref="AB3:AH4"/>
    <mergeCell ref="X6:X7"/>
    <mergeCell ref="Y6:Y7"/>
    <mergeCell ref="X8:X9"/>
    <mergeCell ref="X10:X11"/>
    <mergeCell ref="AO22:AO23"/>
    <mergeCell ref="AP22:AP23"/>
    <mergeCell ref="AO6:AO7"/>
    <mergeCell ref="AP6:AP7"/>
    <mergeCell ref="AO16:AO17"/>
    <mergeCell ref="AP16:AP17"/>
    <mergeCell ref="AO18:AO19"/>
    <mergeCell ref="AP18:AP19"/>
    <mergeCell ref="AO20:AO21"/>
    <mergeCell ref="AP20:AP21"/>
    <mergeCell ref="AO10:AO11"/>
    <mergeCell ref="AP10:AP11"/>
    <mergeCell ref="AO12:AO13"/>
    <mergeCell ref="AP12:AP13"/>
    <mergeCell ref="AO14:AO15"/>
    <mergeCell ref="AP14:AP1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F94E6-0F7F-4B42-B909-5F95CD9C377E}">
  <dimension ref="B3:BL47"/>
  <sheetViews>
    <sheetView rightToLeft="1" topLeftCell="AB1" workbookViewId="0">
      <selection activeCell="BA18" sqref="BA18"/>
    </sheetView>
  </sheetViews>
  <sheetFormatPr defaultColWidth="11.42578125" defaultRowHeight="15" x14ac:dyDescent="0.25"/>
  <cols>
    <col min="2" max="2" width="17.42578125" customWidth="1"/>
    <col min="3" max="3" width="23" bestFit="1" customWidth="1"/>
    <col min="4" max="4" width="20.7109375" customWidth="1"/>
    <col min="5" max="5" width="22.7109375" customWidth="1"/>
    <col min="6" max="6" width="14" customWidth="1"/>
    <col min="18" max="18" width="18.28515625" customWidth="1"/>
    <col min="19" max="19" width="24.7109375" bestFit="1" customWidth="1"/>
    <col min="20" max="20" width="20.5703125" customWidth="1"/>
    <col min="21" max="21" width="21.28515625" customWidth="1"/>
    <col min="34" max="34" width="21.7109375" customWidth="1"/>
    <col min="35" max="35" width="24.7109375" bestFit="1" customWidth="1"/>
    <col min="36" max="36" width="21.85546875" customWidth="1"/>
    <col min="37" max="37" width="18.7109375" bestFit="1" customWidth="1"/>
    <col min="50" max="50" width="17.28515625" customWidth="1"/>
    <col min="51" max="51" width="16.140625" customWidth="1"/>
    <col min="52" max="53" width="18.7109375" bestFit="1" customWidth="1"/>
    <col min="54" max="54" width="13.7109375" customWidth="1"/>
    <col min="55" max="55" width="14.42578125" customWidth="1"/>
  </cols>
  <sheetData>
    <row r="3" spans="2:64" ht="15" customHeight="1" x14ac:dyDescent="0.25"/>
    <row r="4" spans="2:64" ht="15" customHeight="1" x14ac:dyDescent="0.25"/>
    <row r="5" spans="2:64" x14ac:dyDescent="0.25">
      <c r="E5" s="270" t="s">
        <v>55</v>
      </c>
      <c r="F5" s="271"/>
      <c r="G5" s="271"/>
      <c r="H5" s="271"/>
      <c r="I5" s="271"/>
      <c r="J5" s="272"/>
      <c r="U5" s="270" t="s">
        <v>56</v>
      </c>
      <c r="V5" s="271"/>
      <c r="W5" s="271"/>
      <c r="X5" s="271"/>
      <c r="Y5" s="271"/>
      <c r="Z5" s="272"/>
      <c r="AK5" s="270" t="s">
        <v>57</v>
      </c>
      <c r="AL5" s="271"/>
      <c r="AM5" s="271"/>
      <c r="AN5" s="271"/>
      <c r="AO5" s="271"/>
      <c r="AP5" s="272"/>
      <c r="BA5" s="276" t="s">
        <v>58</v>
      </c>
      <c r="BB5" s="277"/>
      <c r="BC5" s="277"/>
      <c r="BD5" s="277"/>
      <c r="BE5" s="277"/>
      <c r="BF5" s="278"/>
    </row>
    <row r="6" spans="2:64" x14ac:dyDescent="0.25">
      <c r="E6" s="273"/>
      <c r="F6" s="274"/>
      <c r="G6" s="274"/>
      <c r="H6" s="274"/>
      <c r="I6" s="274"/>
      <c r="J6" s="275"/>
      <c r="U6" s="273"/>
      <c r="V6" s="274"/>
      <c r="W6" s="274"/>
      <c r="X6" s="274"/>
      <c r="Y6" s="274"/>
      <c r="Z6" s="275"/>
      <c r="AK6" s="273"/>
      <c r="AL6" s="274"/>
      <c r="AM6" s="274"/>
      <c r="AN6" s="274"/>
      <c r="AO6" s="274"/>
      <c r="AP6" s="275"/>
      <c r="BA6" s="279"/>
      <c r="BB6" s="280"/>
      <c r="BC6" s="280"/>
      <c r="BD6" s="280"/>
      <c r="BE6" s="280"/>
      <c r="BF6" s="281"/>
    </row>
    <row r="7" spans="2:64" ht="21" x14ac:dyDescent="0.35">
      <c r="B7" s="1" t="s">
        <v>0</v>
      </c>
      <c r="C7" s="1" t="s">
        <v>1</v>
      </c>
      <c r="D7" s="1" t="s">
        <v>2</v>
      </c>
      <c r="E7" s="7" t="s">
        <v>3</v>
      </c>
      <c r="F7" s="1" t="s">
        <v>4</v>
      </c>
      <c r="G7" s="1" t="s">
        <v>5</v>
      </c>
      <c r="H7" s="1" t="s">
        <v>6</v>
      </c>
      <c r="I7" s="1" t="s">
        <v>7</v>
      </c>
      <c r="J7" s="1" t="s">
        <v>8</v>
      </c>
      <c r="K7" s="1" t="s">
        <v>9</v>
      </c>
      <c r="L7" s="1" t="s">
        <v>10</v>
      </c>
      <c r="M7" s="1" t="s">
        <v>11</v>
      </c>
      <c r="N7" s="1" t="s">
        <v>12</v>
      </c>
      <c r="O7" s="1" t="s">
        <v>13</v>
      </c>
      <c r="P7" s="1" t="s">
        <v>14</v>
      </c>
      <c r="R7" s="1" t="s">
        <v>0</v>
      </c>
      <c r="S7" s="7" t="s">
        <v>1</v>
      </c>
      <c r="T7" s="1" t="s">
        <v>2</v>
      </c>
      <c r="U7" s="7" t="s">
        <v>3</v>
      </c>
      <c r="V7" s="1" t="s">
        <v>4</v>
      </c>
      <c r="W7" s="1" t="s">
        <v>5</v>
      </c>
      <c r="X7" s="1" t="s">
        <v>6</v>
      </c>
      <c r="Y7" s="1" t="s">
        <v>7</v>
      </c>
      <c r="Z7" s="1" t="s">
        <v>8</v>
      </c>
      <c r="AA7" s="1" t="s">
        <v>9</v>
      </c>
      <c r="AB7" s="1" t="s">
        <v>10</v>
      </c>
      <c r="AC7" s="1" t="s">
        <v>11</v>
      </c>
      <c r="AD7" s="1" t="s">
        <v>12</v>
      </c>
      <c r="AE7" s="1" t="s">
        <v>13</v>
      </c>
      <c r="AF7" s="1" t="s">
        <v>14</v>
      </c>
      <c r="AH7" s="1" t="s">
        <v>0</v>
      </c>
      <c r="AI7" s="1" t="s">
        <v>1</v>
      </c>
      <c r="AJ7" s="1" t="s">
        <v>2</v>
      </c>
      <c r="AK7" s="1" t="s">
        <v>3</v>
      </c>
      <c r="AL7" s="1" t="s">
        <v>4</v>
      </c>
      <c r="AM7" s="1" t="s">
        <v>5</v>
      </c>
      <c r="AN7" s="1" t="s">
        <v>6</v>
      </c>
      <c r="AO7" s="1" t="s">
        <v>7</v>
      </c>
      <c r="AP7" s="1" t="s">
        <v>8</v>
      </c>
      <c r="AQ7" s="1" t="s">
        <v>9</v>
      </c>
      <c r="AR7" s="1" t="s">
        <v>10</v>
      </c>
      <c r="AS7" s="1" t="s">
        <v>11</v>
      </c>
      <c r="AT7" s="1" t="s">
        <v>12</v>
      </c>
      <c r="AU7" s="1" t="s">
        <v>13</v>
      </c>
      <c r="AV7" s="1" t="s">
        <v>14</v>
      </c>
      <c r="AX7" s="1" t="s">
        <v>0</v>
      </c>
      <c r="AY7" s="1" t="s">
        <v>1</v>
      </c>
      <c r="AZ7" s="1" t="s">
        <v>2</v>
      </c>
      <c r="BA7" s="7" t="s">
        <v>3</v>
      </c>
      <c r="BB7" s="7" t="s">
        <v>4</v>
      </c>
      <c r="BC7" s="1" t="s">
        <v>5</v>
      </c>
      <c r="BD7" s="1" t="s">
        <v>6</v>
      </c>
      <c r="BE7" s="1" t="s">
        <v>7</v>
      </c>
      <c r="BF7" s="1" t="s">
        <v>8</v>
      </c>
      <c r="BG7" s="1" t="s">
        <v>9</v>
      </c>
      <c r="BH7" s="1" t="s">
        <v>10</v>
      </c>
      <c r="BI7" s="1" t="s">
        <v>11</v>
      </c>
      <c r="BJ7" s="1" t="s">
        <v>12</v>
      </c>
      <c r="BK7" s="1" t="s">
        <v>13</v>
      </c>
      <c r="BL7" s="1" t="s">
        <v>14</v>
      </c>
    </row>
    <row r="8" spans="2:64" x14ac:dyDescent="0.25">
      <c r="B8" s="150" t="s">
        <v>59</v>
      </c>
      <c r="C8" s="150" t="s">
        <v>60</v>
      </c>
      <c r="D8" s="47"/>
      <c r="E8" s="2">
        <v>1200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R8" s="150" t="s">
        <v>59</v>
      </c>
      <c r="S8" s="150" t="s">
        <v>60</v>
      </c>
      <c r="T8" s="2">
        <v>250</v>
      </c>
      <c r="U8" s="2">
        <v>1200</v>
      </c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H8" s="150" t="s">
        <v>59</v>
      </c>
      <c r="AI8" s="150" t="s">
        <v>60</v>
      </c>
      <c r="AJ8" s="2">
        <v>250</v>
      </c>
      <c r="AK8" s="2">
        <v>1200</v>
      </c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X8" s="150" t="s">
        <v>59</v>
      </c>
      <c r="AY8" s="150" t="s">
        <v>60</v>
      </c>
      <c r="AZ8" s="2">
        <v>250</v>
      </c>
      <c r="BA8" s="2">
        <v>1200</v>
      </c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</row>
    <row r="9" spans="2:64" x14ac:dyDescent="0.25">
      <c r="B9" s="151"/>
      <c r="C9" s="151"/>
      <c r="D9" s="47"/>
      <c r="E9" s="2" t="s">
        <v>61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R9" s="151"/>
      <c r="S9" s="151"/>
      <c r="T9" s="2" t="s">
        <v>61</v>
      </c>
      <c r="U9" s="2" t="s">
        <v>61</v>
      </c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H9" s="151"/>
      <c r="AI9" s="151"/>
      <c r="AJ9" s="2" t="s">
        <v>61</v>
      </c>
      <c r="AK9" s="2" t="s">
        <v>61</v>
      </c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X9" s="151"/>
      <c r="AY9" s="151"/>
      <c r="AZ9" s="2" t="s">
        <v>61</v>
      </c>
      <c r="BA9" s="2" t="s">
        <v>61</v>
      </c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</row>
    <row r="10" spans="2:64" x14ac:dyDescent="0.25">
      <c r="B10" s="150" t="s">
        <v>181</v>
      </c>
      <c r="C10" s="150" t="s">
        <v>1032</v>
      </c>
      <c r="D10" s="2">
        <v>250</v>
      </c>
      <c r="E10" s="2">
        <v>1200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R10" s="150" t="s">
        <v>181</v>
      </c>
      <c r="S10" s="150" t="s">
        <v>182</v>
      </c>
      <c r="T10" s="2">
        <v>250</v>
      </c>
      <c r="U10" s="2">
        <v>1200</v>
      </c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H10" s="150" t="s">
        <v>217</v>
      </c>
      <c r="AI10" s="150"/>
      <c r="AJ10" s="2">
        <v>250</v>
      </c>
      <c r="AK10" s="2">
        <v>1200</v>
      </c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X10" s="150" t="s">
        <v>575</v>
      </c>
      <c r="AY10" s="150" t="s">
        <v>182</v>
      </c>
      <c r="AZ10" s="2">
        <v>250</v>
      </c>
      <c r="BA10" s="2">
        <v>1200</v>
      </c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</row>
    <row r="11" spans="2:64" x14ac:dyDescent="0.25">
      <c r="B11" s="151"/>
      <c r="C11" s="151"/>
      <c r="D11" s="2" t="s">
        <v>574</v>
      </c>
      <c r="E11" s="2" t="s">
        <v>591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R11" s="151"/>
      <c r="S11" s="151"/>
      <c r="T11" s="2" t="s">
        <v>573</v>
      </c>
      <c r="U11" s="2" t="s">
        <v>591</v>
      </c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H11" s="151"/>
      <c r="AI11" s="151"/>
      <c r="AJ11" s="2" t="s">
        <v>587</v>
      </c>
      <c r="AK11" s="2" t="s">
        <v>587</v>
      </c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X11" s="151"/>
      <c r="AY11" s="151"/>
      <c r="AZ11" s="2" t="s">
        <v>574</v>
      </c>
      <c r="BA11" s="2" t="s">
        <v>1286</v>
      </c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</row>
    <row r="12" spans="2:64" x14ac:dyDescent="0.25">
      <c r="B12" s="150" t="s">
        <v>576</v>
      </c>
      <c r="C12" s="150"/>
      <c r="D12" s="2">
        <v>250</v>
      </c>
      <c r="E12" s="2">
        <v>1200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R12" s="150" t="s">
        <v>576</v>
      </c>
      <c r="S12" s="150" t="s">
        <v>1026</v>
      </c>
      <c r="T12" s="2">
        <v>250</v>
      </c>
      <c r="U12" s="2">
        <v>1200</v>
      </c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H12" s="150" t="s">
        <v>844</v>
      </c>
      <c r="AI12" s="150" t="s">
        <v>845</v>
      </c>
      <c r="AJ12" s="2">
        <v>250</v>
      </c>
      <c r="AK12" s="2">
        <v>1200</v>
      </c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X12" s="150" t="s">
        <v>217</v>
      </c>
      <c r="AY12" s="150"/>
      <c r="AZ12" s="47"/>
      <c r="BA12" s="2">
        <v>1200</v>
      </c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</row>
    <row r="13" spans="2:64" x14ac:dyDescent="0.25">
      <c r="B13" s="151"/>
      <c r="C13" s="151"/>
      <c r="D13" s="2" t="s">
        <v>577</v>
      </c>
      <c r="E13" s="2" t="s">
        <v>577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R13" s="151"/>
      <c r="S13" s="151"/>
      <c r="T13" s="2" t="s">
        <v>577</v>
      </c>
      <c r="U13" s="2" t="s">
        <v>577</v>
      </c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H13" s="151"/>
      <c r="AI13" s="151"/>
      <c r="AJ13" s="2" t="s">
        <v>846</v>
      </c>
      <c r="AK13" s="2" t="s">
        <v>846</v>
      </c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X13" s="151"/>
      <c r="AY13" s="151"/>
      <c r="AZ13" s="47"/>
      <c r="BA13" s="2" t="s">
        <v>588</v>
      </c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</row>
    <row r="14" spans="2:64" x14ac:dyDescent="0.25">
      <c r="B14" s="150" t="s">
        <v>578</v>
      </c>
      <c r="C14" s="150"/>
      <c r="D14" s="2">
        <v>250</v>
      </c>
      <c r="E14" s="2">
        <v>1200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R14" s="150" t="s">
        <v>578</v>
      </c>
      <c r="S14" s="150"/>
      <c r="T14" s="2">
        <v>250</v>
      </c>
      <c r="U14" s="2">
        <v>1200</v>
      </c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H14" s="150" t="s">
        <v>847</v>
      </c>
      <c r="AI14" s="150"/>
      <c r="AJ14" s="2">
        <v>250</v>
      </c>
      <c r="AK14" s="2">
        <v>1200</v>
      </c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X14" s="150" t="s">
        <v>779</v>
      </c>
      <c r="AY14" s="150"/>
      <c r="AZ14" s="32">
        <v>250</v>
      </c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</row>
    <row r="15" spans="2:64" x14ac:dyDescent="0.25">
      <c r="B15" s="151"/>
      <c r="C15" s="151"/>
      <c r="D15" s="2" t="s">
        <v>579</v>
      </c>
      <c r="E15" s="2" t="s">
        <v>579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R15" s="151"/>
      <c r="S15" s="151"/>
      <c r="T15" s="2" t="s">
        <v>579</v>
      </c>
      <c r="U15" s="2" t="s">
        <v>579</v>
      </c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H15" s="151"/>
      <c r="AI15" s="151"/>
      <c r="AJ15" s="2" t="s">
        <v>848</v>
      </c>
      <c r="AK15" s="2" t="s">
        <v>848</v>
      </c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X15" s="151"/>
      <c r="AY15" s="151"/>
      <c r="AZ15" s="32" t="s">
        <v>780</v>
      </c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</row>
    <row r="16" spans="2:64" x14ac:dyDescent="0.25">
      <c r="B16" s="150" t="s">
        <v>580</v>
      </c>
      <c r="C16" s="150"/>
      <c r="D16" s="2">
        <v>250</v>
      </c>
      <c r="E16" s="2">
        <v>1200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R16" s="150" t="s">
        <v>580</v>
      </c>
      <c r="S16" s="150" t="s">
        <v>1027</v>
      </c>
      <c r="T16" s="2">
        <v>250</v>
      </c>
      <c r="U16" s="2">
        <v>1200</v>
      </c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H16" s="150" t="s">
        <v>1041</v>
      </c>
      <c r="AI16" s="150"/>
      <c r="AJ16" s="2">
        <v>250</v>
      </c>
      <c r="AK16" s="2">
        <v>1200</v>
      </c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X16" s="150" t="s">
        <v>1284</v>
      </c>
      <c r="AY16" s="150"/>
      <c r="AZ16" s="32">
        <v>250</v>
      </c>
      <c r="BA16" s="2">
        <v>1200</v>
      </c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</row>
    <row r="17" spans="2:64" x14ac:dyDescent="0.25">
      <c r="B17" s="151"/>
      <c r="C17" s="151"/>
      <c r="D17" s="2" t="s">
        <v>581</v>
      </c>
      <c r="E17" s="2" t="s">
        <v>581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R17" s="151"/>
      <c r="S17" s="151"/>
      <c r="T17" s="2" t="s">
        <v>581</v>
      </c>
      <c r="U17" s="2" t="s">
        <v>581</v>
      </c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H17" s="151"/>
      <c r="AI17" s="151"/>
      <c r="AJ17" s="2" t="s">
        <v>1042</v>
      </c>
      <c r="AK17" s="2" t="s">
        <v>1042</v>
      </c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X17" s="151"/>
      <c r="AY17" s="151"/>
      <c r="AZ17" s="32" t="s">
        <v>1285</v>
      </c>
      <c r="BA17" s="32" t="s">
        <v>1285</v>
      </c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</row>
    <row r="18" spans="2:64" x14ac:dyDescent="0.25">
      <c r="B18" s="150" t="s">
        <v>582</v>
      </c>
      <c r="C18" s="150" t="s">
        <v>584</v>
      </c>
      <c r="D18" s="2">
        <v>250</v>
      </c>
      <c r="E18" s="2">
        <v>1200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R18" s="150" t="s">
        <v>582</v>
      </c>
      <c r="S18" s="150" t="s">
        <v>584</v>
      </c>
      <c r="T18" s="2">
        <v>250</v>
      </c>
      <c r="U18" s="2">
        <v>1200</v>
      </c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H18" s="150" t="s">
        <v>1238</v>
      </c>
      <c r="AI18" s="150"/>
      <c r="AJ18" s="2">
        <v>250</v>
      </c>
      <c r="AK18" s="2">
        <v>1200</v>
      </c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X18" s="150" t="s">
        <v>1287</v>
      </c>
      <c r="AY18" s="150"/>
      <c r="AZ18" s="32">
        <v>250</v>
      </c>
      <c r="BA18" s="2">
        <v>1200</v>
      </c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</row>
    <row r="19" spans="2:64" x14ac:dyDescent="0.25">
      <c r="B19" s="151"/>
      <c r="C19" s="151"/>
      <c r="D19" s="2" t="s">
        <v>583</v>
      </c>
      <c r="E19" s="2" t="s">
        <v>583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R19" s="151"/>
      <c r="S19" s="151"/>
      <c r="T19" s="2" t="s">
        <v>583</v>
      </c>
      <c r="U19" s="2" t="s">
        <v>583</v>
      </c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H19" s="151"/>
      <c r="AI19" s="151"/>
      <c r="AJ19" s="2" t="s">
        <v>1239</v>
      </c>
      <c r="AK19" s="2" t="s">
        <v>1239</v>
      </c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X19" s="151"/>
      <c r="AY19" s="151"/>
      <c r="AZ19" s="32" t="s">
        <v>1288</v>
      </c>
      <c r="BA19" s="32" t="s">
        <v>1288</v>
      </c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</row>
    <row r="20" spans="2:64" x14ac:dyDescent="0.25">
      <c r="B20" s="150" t="s">
        <v>216</v>
      </c>
      <c r="C20" s="150"/>
      <c r="D20" s="2">
        <v>250</v>
      </c>
      <c r="E20" s="2">
        <v>1200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R20" s="150" t="s">
        <v>216</v>
      </c>
      <c r="S20" s="150"/>
      <c r="T20" s="2">
        <v>250</v>
      </c>
      <c r="U20" s="2">
        <v>1200</v>
      </c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H20" s="150" t="s">
        <v>1231</v>
      </c>
      <c r="AI20" s="150"/>
      <c r="AJ20" s="2"/>
      <c r="AK20" s="2">
        <v>1200</v>
      </c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X20" s="150"/>
      <c r="AY20" s="150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</row>
    <row r="21" spans="2:64" x14ac:dyDescent="0.25">
      <c r="B21" s="151"/>
      <c r="C21" s="151"/>
      <c r="D21" s="2" t="s">
        <v>585</v>
      </c>
      <c r="E21" s="2" t="s">
        <v>585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R21" s="151"/>
      <c r="S21" s="151"/>
      <c r="T21" s="2" t="s">
        <v>585</v>
      </c>
      <c r="U21" s="2" t="s">
        <v>585</v>
      </c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H21" s="151"/>
      <c r="AI21" s="151"/>
      <c r="AJ21" s="2"/>
      <c r="AK21" s="2" t="s">
        <v>1241</v>
      </c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X21" s="151"/>
      <c r="AY21" s="151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</row>
    <row r="22" spans="2:64" x14ac:dyDescent="0.25">
      <c r="B22" s="150" t="s">
        <v>217</v>
      </c>
      <c r="C22" s="150"/>
      <c r="D22" s="2">
        <v>250</v>
      </c>
      <c r="E22" s="2">
        <v>1200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R22" s="150" t="s">
        <v>217</v>
      </c>
      <c r="S22" s="150"/>
      <c r="T22" s="2">
        <v>250</v>
      </c>
      <c r="U22" s="2">
        <v>1200</v>
      </c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H22" s="150" t="s">
        <v>1242</v>
      </c>
      <c r="AI22" s="150"/>
      <c r="AJ22" s="2">
        <v>250</v>
      </c>
      <c r="AK22" s="2">
        <v>1200</v>
      </c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X22" s="150"/>
      <c r="AY22" s="150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</row>
    <row r="23" spans="2:64" x14ac:dyDescent="0.25">
      <c r="B23" s="151"/>
      <c r="C23" s="151"/>
      <c r="D23" s="2" t="s">
        <v>586</v>
      </c>
      <c r="E23" s="2" t="s">
        <v>586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R23" s="151"/>
      <c r="S23" s="151"/>
      <c r="T23" s="2" t="s">
        <v>586</v>
      </c>
      <c r="U23" s="2" t="s">
        <v>586</v>
      </c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H23" s="151"/>
      <c r="AI23" s="151"/>
      <c r="AJ23" s="2" t="s">
        <v>1243</v>
      </c>
      <c r="AK23" s="2" t="s">
        <v>1243</v>
      </c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X23" s="151"/>
      <c r="AY23" s="151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</row>
    <row r="24" spans="2:64" x14ac:dyDescent="0.25">
      <c r="B24" s="150" t="s">
        <v>189</v>
      </c>
      <c r="C24" s="150"/>
      <c r="D24" s="2">
        <v>250</v>
      </c>
      <c r="E24" s="2">
        <v>1200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R24" s="150" t="s">
        <v>189</v>
      </c>
      <c r="S24" s="150"/>
      <c r="T24" s="2">
        <v>250</v>
      </c>
      <c r="U24" s="2">
        <v>1200</v>
      </c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H24" s="150"/>
      <c r="AI24" s="150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X24" s="150"/>
      <c r="AY24" s="150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</row>
    <row r="25" spans="2:64" x14ac:dyDescent="0.25">
      <c r="B25" s="151"/>
      <c r="C25" s="151"/>
      <c r="D25" s="2" t="s">
        <v>589</v>
      </c>
      <c r="E25" s="2" t="s">
        <v>589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R25" s="151"/>
      <c r="S25" s="151"/>
      <c r="T25" s="2" t="s">
        <v>590</v>
      </c>
      <c r="U25" s="2" t="s">
        <v>590</v>
      </c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H25" s="151"/>
      <c r="AI25" s="151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X25" s="151"/>
      <c r="AY25" s="151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</row>
    <row r="26" spans="2:64" x14ac:dyDescent="0.25">
      <c r="B26" s="150" t="s">
        <v>592</v>
      </c>
      <c r="C26" s="150"/>
      <c r="D26" s="2">
        <v>250</v>
      </c>
      <c r="E26" s="2">
        <v>1200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R26" s="150" t="s">
        <v>592</v>
      </c>
      <c r="S26" s="150" t="s">
        <v>1028</v>
      </c>
      <c r="T26" s="2">
        <v>250</v>
      </c>
      <c r="U26" s="2">
        <v>1200</v>
      </c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H26" s="150"/>
      <c r="AI26" s="150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X26" s="150"/>
      <c r="AY26" s="150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</row>
    <row r="27" spans="2:64" x14ac:dyDescent="0.25">
      <c r="B27" s="151"/>
      <c r="C27" s="151"/>
      <c r="D27" s="2" t="s">
        <v>593</v>
      </c>
      <c r="E27" s="2" t="s">
        <v>593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R27" s="151"/>
      <c r="S27" s="151"/>
      <c r="T27" s="2" t="s">
        <v>594</v>
      </c>
      <c r="U27" s="2" t="s">
        <v>594</v>
      </c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H27" s="151"/>
      <c r="AI27" s="151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X27" s="151"/>
      <c r="AY27" s="151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</row>
    <row r="28" spans="2:64" x14ac:dyDescent="0.25">
      <c r="B28" s="150" t="s">
        <v>595</v>
      </c>
      <c r="C28" s="150" t="s">
        <v>596</v>
      </c>
      <c r="D28" s="2">
        <v>250</v>
      </c>
      <c r="E28" s="2">
        <v>1200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R28" s="150" t="s">
        <v>595</v>
      </c>
      <c r="S28" s="150" t="s">
        <v>596</v>
      </c>
      <c r="T28" s="2">
        <v>250</v>
      </c>
      <c r="U28" s="2">
        <v>1200</v>
      </c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H28" s="150"/>
      <c r="AI28" s="150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X28" s="150"/>
      <c r="AY28" s="150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</row>
    <row r="29" spans="2:64" x14ac:dyDescent="0.25">
      <c r="B29" s="151"/>
      <c r="C29" s="151"/>
      <c r="D29" s="2" t="s">
        <v>597</v>
      </c>
      <c r="E29" s="2" t="s">
        <v>597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R29" s="151"/>
      <c r="S29" s="151"/>
      <c r="T29" s="2" t="s">
        <v>598</v>
      </c>
      <c r="U29" s="2" t="s">
        <v>598</v>
      </c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H29" s="151"/>
      <c r="AI29" s="151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X29" s="151"/>
      <c r="AY29" s="151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</row>
    <row r="30" spans="2:64" x14ac:dyDescent="0.25">
      <c r="B30" s="150" t="s">
        <v>195</v>
      </c>
      <c r="C30" s="150"/>
      <c r="D30" s="2"/>
      <c r="E30" s="2">
        <v>1200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R30" s="150" t="s">
        <v>195</v>
      </c>
      <c r="S30" s="150"/>
      <c r="T30" s="2"/>
      <c r="U30" s="2">
        <v>1200</v>
      </c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H30" s="150"/>
      <c r="AI30" s="150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X30" s="150"/>
      <c r="AY30" s="150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</row>
    <row r="31" spans="2:64" x14ac:dyDescent="0.25">
      <c r="B31" s="151"/>
      <c r="C31" s="151"/>
      <c r="D31" s="2"/>
      <c r="E31" s="2" t="s">
        <v>625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R31" s="151"/>
      <c r="S31" s="151"/>
      <c r="T31" s="2"/>
      <c r="U31" s="2" t="s">
        <v>625</v>
      </c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H31" s="151"/>
      <c r="AI31" s="151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X31" s="151"/>
      <c r="AY31" s="151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</row>
    <row r="32" spans="2:64" x14ac:dyDescent="0.25">
      <c r="B32" s="150" t="s">
        <v>776</v>
      </c>
      <c r="C32" s="150"/>
      <c r="D32" s="2">
        <v>250</v>
      </c>
      <c r="E32" s="2">
        <v>1200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R32" s="150" t="s">
        <v>776</v>
      </c>
      <c r="S32" s="150" t="s">
        <v>1029</v>
      </c>
      <c r="T32" s="2">
        <v>250</v>
      </c>
      <c r="U32" s="2">
        <v>1200</v>
      </c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H32" s="150"/>
      <c r="AI32" s="150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X32" s="150"/>
      <c r="AY32" s="150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</row>
    <row r="33" spans="2:64" x14ac:dyDescent="0.25">
      <c r="B33" s="151"/>
      <c r="C33" s="151"/>
      <c r="D33" s="2" t="s">
        <v>774</v>
      </c>
      <c r="E33" s="2" t="s">
        <v>774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R33" s="151"/>
      <c r="S33" s="151"/>
      <c r="T33" s="2" t="s">
        <v>775</v>
      </c>
      <c r="U33" s="2" t="s">
        <v>775</v>
      </c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H33" s="151"/>
      <c r="AI33" s="151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X33" s="151"/>
      <c r="AY33" s="151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</row>
    <row r="34" spans="2:64" x14ac:dyDescent="0.25">
      <c r="B34" s="150" t="s">
        <v>777</v>
      </c>
      <c r="C34" s="150"/>
      <c r="D34" s="2">
        <v>250</v>
      </c>
      <c r="E34" s="2">
        <v>1200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R34" s="150" t="s">
        <v>777</v>
      </c>
      <c r="S34" s="150" t="s">
        <v>1030</v>
      </c>
      <c r="T34" s="2">
        <v>250</v>
      </c>
      <c r="U34" s="2">
        <v>1200</v>
      </c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H34" s="150"/>
      <c r="AI34" s="150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X34" s="150"/>
      <c r="AY34" s="150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</row>
    <row r="35" spans="2:64" x14ac:dyDescent="0.25">
      <c r="B35" s="151"/>
      <c r="C35" s="151"/>
      <c r="D35" s="2" t="s">
        <v>778</v>
      </c>
      <c r="E35" s="2" t="s">
        <v>778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R35" s="151"/>
      <c r="S35" s="151"/>
      <c r="T35" s="2" t="s">
        <v>778</v>
      </c>
      <c r="U35" s="2" t="s">
        <v>778</v>
      </c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H35" s="151"/>
      <c r="AI35" s="151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X35" s="151"/>
      <c r="AY35" s="151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</row>
    <row r="36" spans="2:64" x14ac:dyDescent="0.25">
      <c r="B36" s="150" t="s">
        <v>903</v>
      </c>
      <c r="C36" s="150"/>
      <c r="D36" s="32">
        <v>250</v>
      </c>
      <c r="E36" s="2">
        <v>1200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R36" s="150" t="s">
        <v>903</v>
      </c>
      <c r="S36" s="150" t="s">
        <v>1031</v>
      </c>
      <c r="T36" s="32">
        <v>250</v>
      </c>
      <c r="U36" s="2">
        <v>1200</v>
      </c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H36" s="150"/>
      <c r="AI36" s="150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X36" s="150"/>
      <c r="AY36" s="150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</row>
    <row r="37" spans="2:64" x14ac:dyDescent="0.25">
      <c r="B37" s="151"/>
      <c r="C37" s="151"/>
      <c r="D37" s="32" t="s">
        <v>780</v>
      </c>
      <c r="E37" s="2" t="s">
        <v>1235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R37" s="151"/>
      <c r="S37" s="151"/>
      <c r="T37" s="32" t="s">
        <v>780</v>
      </c>
      <c r="U37" s="2" t="s">
        <v>1235</v>
      </c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H37" s="151"/>
      <c r="AI37" s="151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X37" s="151"/>
      <c r="AY37" s="151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</row>
    <row r="38" spans="2:64" x14ac:dyDescent="0.25">
      <c r="B38" s="150" t="s">
        <v>1231</v>
      </c>
      <c r="C38" s="150"/>
      <c r="D38" s="2"/>
      <c r="E38" s="2">
        <v>1200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R38" s="150" t="s">
        <v>1231</v>
      </c>
      <c r="S38" s="150"/>
      <c r="T38" s="2"/>
      <c r="U38" s="2">
        <v>1200</v>
      </c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H38" s="150"/>
      <c r="AI38" s="150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X38" s="150"/>
      <c r="AY38" s="150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</row>
    <row r="39" spans="2:64" x14ac:dyDescent="0.25">
      <c r="B39" s="151"/>
      <c r="C39" s="151"/>
      <c r="D39" s="2"/>
      <c r="E39" s="2" t="s">
        <v>1232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R39" s="151"/>
      <c r="S39" s="151"/>
      <c r="T39" s="2"/>
      <c r="U39" s="2" t="s">
        <v>1232</v>
      </c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H39" s="151"/>
      <c r="AI39" s="151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X39" s="151"/>
      <c r="AY39" s="151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</row>
    <row r="40" spans="2:64" x14ac:dyDescent="0.25">
      <c r="B40" s="150" t="s">
        <v>1233</v>
      </c>
      <c r="C40" s="150"/>
      <c r="D40" s="2">
        <v>250</v>
      </c>
      <c r="E40" s="2">
        <v>1200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R40" s="150" t="s">
        <v>1244</v>
      </c>
      <c r="S40" s="150"/>
      <c r="T40" s="2">
        <v>250</v>
      </c>
      <c r="U40" s="2">
        <v>1200</v>
      </c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H40" s="150"/>
      <c r="AI40" s="150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X40" s="150"/>
      <c r="AY40" s="150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</row>
    <row r="41" spans="2:64" x14ac:dyDescent="0.25">
      <c r="B41" s="151"/>
      <c r="C41" s="151"/>
      <c r="D41" s="2" t="s">
        <v>1234</v>
      </c>
      <c r="E41" s="2" t="s">
        <v>1234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R41" s="151"/>
      <c r="S41" s="151"/>
      <c r="T41" s="2" t="s">
        <v>1237</v>
      </c>
      <c r="U41" s="2" t="s">
        <v>1237</v>
      </c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H41" s="151"/>
      <c r="AI41" s="151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X41" s="151"/>
      <c r="AY41" s="151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</row>
    <row r="42" spans="2:64" x14ac:dyDescent="0.25">
      <c r="B42" s="150" t="s">
        <v>1236</v>
      </c>
      <c r="C42" s="150"/>
      <c r="D42" s="2">
        <v>250</v>
      </c>
      <c r="E42" s="2">
        <v>1200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R42" s="150" t="s">
        <v>1233</v>
      </c>
      <c r="S42" s="150"/>
      <c r="T42" s="2"/>
      <c r="U42" s="2">
        <v>1200</v>
      </c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H42" s="150"/>
      <c r="AI42" s="150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X42" s="150"/>
      <c r="AY42" s="150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</row>
    <row r="43" spans="2:64" x14ac:dyDescent="0.25">
      <c r="B43" s="151"/>
      <c r="C43" s="151"/>
      <c r="D43" s="2" t="s">
        <v>1237</v>
      </c>
      <c r="E43" s="2" t="s">
        <v>1237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R43" s="151"/>
      <c r="S43" s="151"/>
      <c r="T43" s="2"/>
      <c r="U43" s="2" t="s">
        <v>1240</v>
      </c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H43" s="151"/>
      <c r="AI43" s="151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X43" s="151"/>
      <c r="AY43" s="151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</row>
    <row r="44" spans="2:64" x14ac:dyDescent="0.25">
      <c r="B44" s="150"/>
      <c r="C44" s="150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R44" s="150"/>
      <c r="S44" s="150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H44" s="150"/>
      <c r="AI44" s="150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X44" s="150"/>
      <c r="AY44" s="150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</row>
    <row r="45" spans="2:64" x14ac:dyDescent="0.25">
      <c r="B45" s="151"/>
      <c r="C45" s="151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R45" s="151"/>
      <c r="S45" s="151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H45" s="151"/>
      <c r="AI45" s="151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X45" s="151"/>
      <c r="AY45" s="151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</row>
    <row r="46" spans="2:64" x14ac:dyDescent="0.25">
      <c r="B46" s="150"/>
      <c r="C46" s="150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R46" s="150"/>
      <c r="S46" s="150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H46" s="150"/>
      <c r="AI46" s="150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X46" s="150"/>
      <c r="AY46" s="150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</row>
    <row r="47" spans="2:64" x14ac:dyDescent="0.25">
      <c r="B47" s="151"/>
      <c r="C47" s="151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R47" s="151"/>
      <c r="S47" s="151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H47" s="151"/>
      <c r="AI47" s="151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X47" s="151"/>
      <c r="AY47" s="151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</row>
  </sheetData>
  <mergeCells count="164">
    <mergeCell ref="AX44:AX45"/>
    <mergeCell ref="AY44:AY45"/>
    <mergeCell ref="AX46:AX47"/>
    <mergeCell ref="AY46:AY47"/>
    <mergeCell ref="AX38:AX39"/>
    <mergeCell ref="AY38:AY39"/>
    <mergeCell ref="AX40:AX41"/>
    <mergeCell ref="AY40:AY41"/>
    <mergeCell ref="AX42:AX43"/>
    <mergeCell ref="AY42:AY43"/>
    <mergeCell ref="AX32:AX33"/>
    <mergeCell ref="AY32:AY33"/>
    <mergeCell ref="AX34:AX35"/>
    <mergeCell ref="AY34:AY35"/>
    <mergeCell ref="AX36:AX37"/>
    <mergeCell ref="AY36:AY37"/>
    <mergeCell ref="AX26:AX27"/>
    <mergeCell ref="AY26:AY27"/>
    <mergeCell ref="AX28:AX29"/>
    <mergeCell ref="AY28:AY29"/>
    <mergeCell ref="AX30:AX31"/>
    <mergeCell ref="AY30:AY31"/>
    <mergeCell ref="AX20:AX21"/>
    <mergeCell ref="AY20:AY21"/>
    <mergeCell ref="AX22:AX23"/>
    <mergeCell ref="AY22:AY23"/>
    <mergeCell ref="AX24:AX25"/>
    <mergeCell ref="AY24:AY25"/>
    <mergeCell ref="AY12:AY13"/>
    <mergeCell ref="AX14:AX15"/>
    <mergeCell ref="AY14:AY15"/>
    <mergeCell ref="AX16:AX17"/>
    <mergeCell ref="AY16:AY17"/>
    <mergeCell ref="AX18:AX19"/>
    <mergeCell ref="AY18:AY19"/>
    <mergeCell ref="AH44:AH45"/>
    <mergeCell ref="AI44:AI45"/>
    <mergeCell ref="AH46:AH47"/>
    <mergeCell ref="AI46:AI47"/>
    <mergeCell ref="BA5:BF6"/>
    <mergeCell ref="AX8:AX9"/>
    <mergeCell ref="AY8:AY9"/>
    <mergeCell ref="AX10:AX11"/>
    <mergeCell ref="AY10:AY11"/>
    <mergeCell ref="AX12:AX13"/>
    <mergeCell ref="AH38:AH39"/>
    <mergeCell ref="AI38:AI39"/>
    <mergeCell ref="AH40:AH41"/>
    <mergeCell ref="AI40:AI41"/>
    <mergeCell ref="AH42:AH43"/>
    <mergeCell ref="AI42:AI43"/>
    <mergeCell ref="AH32:AH33"/>
    <mergeCell ref="AI32:AI33"/>
    <mergeCell ref="AH34:AH35"/>
    <mergeCell ref="AI34:AI35"/>
    <mergeCell ref="AH36:AH37"/>
    <mergeCell ref="AI36:AI37"/>
    <mergeCell ref="AH26:AH27"/>
    <mergeCell ref="AI26:AI27"/>
    <mergeCell ref="AH28:AH29"/>
    <mergeCell ref="AI28:AI29"/>
    <mergeCell ref="AH30:AH31"/>
    <mergeCell ref="AI30:AI31"/>
    <mergeCell ref="AH20:AH21"/>
    <mergeCell ref="AI20:AI21"/>
    <mergeCell ref="AH22:AH23"/>
    <mergeCell ref="AI22:AI23"/>
    <mergeCell ref="AH24:AH25"/>
    <mergeCell ref="AI24:AI25"/>
    <mergeCell ref="AI12:AI13"/>
    <mergeCell ref="AH14:AH15"/>
    <mergeCell ref="AI14:AI15"/>
    <mergeCell ref="AH16:AH17"/>
    <mergeCell ref="AI16:AI17"/>
    <mergeCell ref="AH18:AH19"/>
    <mergeCell ref="AI18:AI19"/>
    <mergeCell ref="R44:R45"/>
    <mergeCell ref="S44:S45"/>
    <mergeCell ref="R30:R31"/>
    <mergeCell ref="S30:S31"/>
    <mergeCell ref="R20:R21"/>
    <mergeCell ref="S20:S21"/>
    <mergeCell ref="R22:R23"/>
    <mergeCell ref="S22:S23"/>
    <mergeCell ref="R24:R25"/>
    <mergeCell ref="S24:S25"/>
    <mergeCell ref="S12:S13"/>
    <mergeCell ref="R14:R15"/>
    <mergeCell ref="S14:S15"/>
    <mergeCell ref="R16:R17"/>
    <mergeCell ref="S16:S17"/>
    <mergeCell ref="R18:R19"/>
    <mergeCell ref="S18:S19"/>
    <mergeCell ref="R46:R47"/>
    <mergeCell ref="S46:S47"/>
    <mergeCell ref="AK5:AP6"/>
    <mergeCell ref="AH8:AH9"/>
    <mergeCell ref="AI8:AI9"/>
    <mergeCell ref="AH10:AH11"/>
    <mergeCell ref="AI10:AI11"/>
    <mergeCell ref="AH12:AH13"/>
    <mergeCell ref="R38:R39"/>
    <mergeCell ref="S38:S39"/>
    <mergeCell ref="R40:R41"/>
    <mergeCell ref="S40:S41"/>
    <mergeCell ref="R42:R43"/>
    <mergeCell ref="S42:S43"/>
    <mergeCell ref="R32:R33"/>
    <mergeCell ref="S32:S33"/>
    <mergeCell ref="R34:R35"/>
    <mergeCell ref="S34:S35"/>
    <mergeCell ref="R36:R37"/>
    <mergeCell ref="S36:S37"/>
    <mergeCell ref="R26:R27"/>
    <mergeCell ref="S26:S27"/>
    <mergeCell ref="R28:R29"/>
    <mergeCell ref="S28:S29"/>
    <mergeCell ref="B44:B45"/>
    <mergeCell ref="C44:C45"/>
    <mergeCell ref="B46:B47"/>
    <mergeCell ref="C46:C47"/>
    <mergeCell ref="U5:Z6"/>
    <mergeCell ref="R8:R9"/>
    <mergeCell ref="S8:S9"/>
    <mergeCell ref="R10:R11"/>
    <mergeCell ref="S10:S11"/>
    <mergeCell ref="R12:R13"/>
    <mergeCell ref="B38:B39"/>
    <mergeCell ref="C38:C39"/>
    <mergeCell ref="B40:B41"/>
    <mergeCell ref="C40:C41"/>
    <mergeCell ref="B42:B43"/>
    <mergeCell ref="C42:C43"/>
    <mergeCell ref="B32:B33"/>
    <mergeCell ref="C32:C33"/>
    <mergeCell ref="B34:B35"/>
    <mergeCell ref="C34:C35"/>
    <mergeCell ref="B36:B37"/>
    <mergeCell ref="C36:C37"/>
    <mergeCell ref="B26:B27"/>
    <mergeCell ref="C26:C27"/>
    <mergeCell ref="B28:B29"/>
    <mergeCell ref="C28:C29"/>
    <mergeCell ref="B30:B31"/>
    <mergeCell ref="C30:C31"/>
    <mergeCell ref="B20:B21"/>
    <mergeCell ref="C20:C21"/>
    <mergeCell ref="B22:B23"/>
    <mergeCell ref="C22:C23"/>
    <mergeCell ref="B24:B25"/>
    <mergeCell ref="C24:C25"/>
    <mergeCell ref="B14:B15"/>
    <mergeCell ref="C14:C15"/>
    <mergeCell ref="B16:B17"/>
    <mergeCell ref="C16:C17"/>
    <mergeCell ref="B18:B19"/>
    <mergeCell ref="C18:C19"/>
    <mergeCell ref="E5:J6"/>
    <mergeCell ref="B8:B9"/>
    <mergeCell ref="C8:C9"/>
    <mergeCell ref="B10:B11"/>
    <mergeCell ref="C10:C11"/>
    <mergeCell ref="B12:B13"/>
    <mergeCell ref="C12:C13"/>
  </mergeCells>
  <phoneticPr fontId="6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75BA3-EAC1-4B0A-9DBD-7FDF18F3F058}">
  <dimension ref="D4:AL48"/>
  <sheetViews>
    <sheetView rightToLeft="1" workbookViewId="0">
      <selection activeCell="G16" sqref="G16"/>
    </sheetView>
  </sheetViews>
  <sheetFormatPr defaultColWidth="11.42578125" defaultRowHeight="15" x14ac:dyDescent="0.25"/>
  <cols>
    <col min="4" max="4" width="21.5703125" customWidth="1"/>
    <col min="5" max="5" width="21.140625" customWidth="1"/>
    <col min="6" max="6" width="22.5703125" customWidth="1"/>
    <col min="7" max="7" width="18.28515625" bestFit="1" customWidth="1"/>
    <col min="8" max="8" width="15.28515625" customWidth="1"/>
    <col min="9" max="9" width="13.85546875" customWidth="1"/>
    <col min="24" max="24" width="20" customWidth="1"/>
    <col min="25" max="25" width="21.28515625" customWidth="1"/>
    <col min="26" max="26" width="19.7109375" customWidth="1"/>
    <col min="27" max="27" width="18.28515625" bestFit="1" customWidth="1"/>
    <col min="28" max="28" width="16.28515625" customWidth="1"/>
    <col min="29" max="29" width="13.85546875" customWidth="1"/>
    <col min="30" max="30" width="13" customWidth="1"/>
    <col min="31" max="31" width="14.7109375" customWidth="1"/>
  </cols>
  <sheetData>
    <row r="4" spans="4:38" x14ac:dyDescent="0.25">
      <c r="AA4" s="270" t="s">
        <v>55</v>
      </c>
      <c r="AB4" s="271"/>
      <c r="AC4" s="271"/>
      <c r="AD4" s="271"/>
      <c r="AE4" s="271"/>
      <c r="AF4" s="272"/>
    </row>
    <row r="5" spans="4:38" x14ac:dyDescent="0.25">
      <c r="AA5" s="273"/>
      <c r="AB5" s="274"/>
      <c r="AC5" s="274"/>
      <c r="AD5" s="274"/>
      <c r="AE5" s="274"/>
      <c r="AF5" s="275"/>
    </row>
    <row r="6" spans="4:38" ht="21" customHeight="1" x14ac:dyDescent="0.25">
      <c r="D6" s="9"/>
      <c r="E6" s="9"/>
      <c r="F6" s="9"/>
      <c r="G6" s="276" t="s">
        <v>56</v>
      </c>
      <c r="H6" s="277"/>
      <c r="I6" s="277"/>
      <c r="J6" s="277"/>
      <c r="K6" s="277"/>
      <c r="L6" s="278"/>
      <c r="M6" s="9"/>
      <c r="N6" s="9"/>
      <c r="O6" s="9"/>
      <c r="P6" s="9"/>
      <c r="Q6" s="9"/>
      <c r="R6" s="9"/>
      <c r="X6" s="7" t="s">
        <v>0</v>
      </c>
      <c r="Y6" s="7" t="s">
        <v>1</v>
      </c>
      <c r="Z6" s="7" t="s">
        <v>2</v>
      </c>
      <c r="AA6" s="7" t="s">
        <v>3</v>
      </c>
      <c r="AB6" s="7" t="s">
        <v>4</v>
      </c>
      <c r="AC6" s="7" t="s">
        <v>5</v>
      </c>
      <c r="AD6" s="7" t="s">
        <v>6</v>
      </c>
      <c r="AE6" s="7" t="s">
        <v>7</v>
      </c>
      <c r="AF6" s="7" t="s">
        <v>8</v>
      </c>
      <c r="AG6" s="7" t="s">
        <v>9</v>
      </c>
      <c r="AH6" s="7" t="s">
        <v>10</v>
      </c>
      <c r="AI6" s="7" t="s">
        <v>11</v>
      </c>
      <c r="AJ6" s="7" t="s">
        <v>12</v>
      </c>
      <c r="AK6" s="7" t="s">
        <v>13</v>
      </c>
      <c r="AL6" s="7" t="s">
        <v>14</v>
      </c>
    </row>
    <row r="7" spans="4:38" ht="15" customHeight="1" x14ac:dyDescent="0.25">
      <c r="D7" s="9"/>
      <c r="E7" s="9"/>
      <c r="F7" s="9"/>
      <c r="G7" s="279"/>
      <c r="H7" s="280"/>
      <c r="I7" s="280"/>
      <c r="J7" s="280"/>
      <c r="K7" s="280"/>
      <c r="L7" s="281"/>
      <c r="M7" s="9"/>
      <c r="N7" s="9"/>
      <c r="O7" s="9"/>
      <c r="P7" s="9"/>
      <c r="Q7" s="9"/>
      <c r="R7" s="9"/>
      <c r="X7" s="150" t="s">
        <v>274</v>
      </c>
      <c r="Y7" s="150"/>
      <c r="Z7" s="2">
        <v>250</v>
      </c>
      <c r="AA7" s="2">
        <v>1200</v>
      </c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</row>
    <row r="8" spans="4:38" ht="21" customHeight="1" x14ac:dyDescent="0.25">
      <c r="D8" s="7" t="s">
        <v>0</v>
      </c>
      <c r="E8" s="7" t="s">
        <v>1</v>
      </c>
      <c r="F8" s="7" t="s">
        <v>2</v>
      </c>
      <c r="G8" s="7" t="s">
        <v>3</v>
      </c>
      <c r="H8" s="7" t="s">
        <v>4</v>
      </c>
      <c r="I8" s="7" t="s">
        <v>5</v>
      </c>
      <c r="J8" s="7" t="s">
        <v>6</v>
      </c>
      <c r="K8" s="7" t="s">
        <v>7</v>
      </c>
      <c r="L8" s="7" t="s">
        <v>8</v>
      </c>
      <c r="M8" s="7" t="s">
        <v>9</v>
      </c>
      <c r="N8" s="7" t="s">
        <v>10</v>
      </c>
      <c r="O8" s="7" t="s">
        <v>11</v>
      </c>
      <c r="P8" s="7" t="s">
        <v>12</v>
      </c>
      <c r="Q8" s="7" t="s">
        <v>13</v>
      </c>
      <c r="R8" s="7" t="s">
        <v>14</v>
      </c>
      <c r="X8" s="151"/>
      <c r="Y8" s="151"/>
      <c r="Z8" s="2" t="s">
        <v>511</v>
      </c>
      <c r="AA8" s="2" t="s">
        <v>511</v>
      </c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</row>
    <row r="9" spans="4:38" x14ac:dyDescent="0.25">
      <c r="D9" s="150" t="s">
        <v>274</v>
      </c>
      <c r="E9" s="150"/>
      <c r="F9" s="2">
        <v>250</v>
      </c>
      <c r="G9" s="2">
        <v>1200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X9" s="150" t="s">
        <v>805</v>
      </c>
      <c r="Y9" s="150"/>
      <c r="Z9" s="2">
        <v>250</v>
      </c>
      <c r="AA9" s="2">
        <v>1200</v>
      </c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</row>
    <row r="10" spans="4:38" x14ac:dyDescent="0.25">
      <c r="D10" s="151"/>
      <c r="E10" s="151"/>
      <c r="F10" s="2" t="s">
        <v>511</v>
      </c>
      <c r="G10" s="2" t="s">
        <v>511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X10" s="151"/>
      <c r="Y10" s="151"/>
      <c r="Z10" s="2" t="s">
        <v>806</v>
      </c>
      <c r="AA10" s="2" t="s">
        <v>806</v>
      </c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</row>
    <row r="11" spans="4:38" x14ac:dyDescent="0.25">
      <c r="D11" s="150" t="s">
        <v>805</v>
      </c>
      <c r="E11" s="150"/>
      <c r="F11" s="2"/>
      <c r="G11" s="2">
        <v>1200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X11" s="150"/>
      <c r="Y11" s="150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</row>
    <row r="12" spans="4:38" x14ac:dyDescent="0.25">
      <c r="D12" s="151"/>
      <c r="E12" s="151"/>
      <c r="F12" s="2"/>
      <c r="G12" s="2" t="s">
        <v>806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X12" s="151"/>
      <c r="Y12" s="151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</row>
    <row r="13" spans="4:38" x14ac:dyDescent="0.25">
      <c r="D13" s="150" t="s">
        <v>1218</v>
      </c>
      <c r="E13" s="150"/>
      <c r="F13" s="2">
        <v>250</v>
      </c>
      <c r="G13" s="2">
        <v>1200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X13" s="150"/>
      <c r="Y13" s="150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</row>
    <row r="14" spans="4:38" x14ac:dyDescent="0.25">
      <c r="D14" s="151"/>
      <c r="E14" s="151"/>
      <c r="F14" s="2" t="s">
        <v>1219</v>
      </c>
      <c r="G14" s="2" t="s">
        <v>1219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X14" s="151"/>
      <c r="Y14" s="151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</row>
    <row r="15" spans="4:38" x14ac:dyDescent="0.25">
      <c r="D15" s="150" t="s">
        <v>1220</v>
      </c>
      <c r="E15" s="150"/>
      <c r="F15" s="2">
        <v>250</v>
      </c>
      <c r="G15" s="2">
        <v>1200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X15" s="150"/>
      <c r="Y15" s="150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</row>
    <row r="16" spans="4:38" x14ac:dyDescent="0.25">
      <c r="D16" s="151"/>
      <c r="E16" s="151"/>
      <c r="F16" s="2" t="s">
        <v>1221</v>
      </c>
      <c r="G16" s="2" t="s">
        <v>1221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X16" s="151"/>
      <c r="Y16" s="151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</row>
    <row r="17" spans="4:38" x14ac:dyDescent="0.25">
      <c r="D17" s="150"/>
      <c r="E17" s="150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X17" s="150"/>
      <c r="Y17" s="150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</row>
    <row r="18" spans="4:38" x14ac:dyDescent="0.25">
      <c r="D18" s="151"/>
      <c r="E18" s="151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X18" s="151"/>
      <c r="Y18" s="151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</row>
    <row r="19" spans="4:38" x14ac:dyDescent="0.25">
      <c r="D19" s="150"/>
      <c r="E19" s="150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X19" s="150"/>
      <c r="Y19" s="150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</row>
    <row r="20" spans="4:38" x14ac:dyDescent="0.25">
      <c r="D20" s="151"/>
      <c r="E20" s="151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X20" s="151"/>
      <c r="Y20" s="151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</row>
    <row r="21" spans="4:38" x14ac:dyDescent="0.25">
      <c r="D21" s="150"/>
      <c r="E21" s="150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X21" s="150"/>
      <c r="Y21" s="150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</row>
    <row r="22" spans="4:38" x14ac:dyDescent="0.25">
      <c r="D22" s="151"/>
      <c r="E22" s="151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X22" s="151"/>
      <c r="Y22" s="151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 spans="4:38" x14ac:dyDescent="0.25">
      <c r="D23" s="150"/>
      <c r="E23" s="150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X23" s="150"/>
      <c r="Y23" s="150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 spans="4:38" x14ac:dyDescent="0.25">
      <c r="D24" s="151"/>
      <c r="E24" s="151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X24" s="151"/>
      <c r="Y24" s="151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 spans="4:38" x14ac:dyDescent="0.25">
      <c r="D25" s="150"/>
      <c r="E25" s="150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X25" s="150"/>
      <c r="Y25" s="150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 spans="4:38" x14ac:dyDescent="0.25">
      <c r="D26" s="151"/>
      <c r="E26" s="151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X26" s="151"/>
      <c r="Y26" s="151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 spans="4:38" x14ac:dyDescent="0.25">
      <c r="D27" s="150"/>
      <c r="E27" s="150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X27" s="150"/>
      <c r="Y27" s="150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 spans="4:38" x14ac:dyDescent="0.25">
      <c r="D28" s="151"/>
      <c r="E28" s="151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X28" s="151"/>
      <c r="Y28" s="151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spans="4:38" x14ac:dyDescent="0.25">
      <c r="D29" s="150"/>
      <c r="E29" s="150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X29" s="150"/>
      <c r="Y29" s="150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 spans="4:38" x14ac:dyDescent="0.25">
      <c r="D30" s="151"/>
      <c r="E30" s="151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X30" s="151"/>
      <c r="Y30" s="151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 spans="4:38" x14ac:dyDescent="0.25">
      <c r="D31" s="150"/>
      <c r="E31" s="150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X31" s="150"/>
      <c r="Y31" s="150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 spans="4:38" x14ac:dyDescent="0.25">
      <c r="D32" s="151"/>
      <c r="E32" s="151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X32" s="151"/>
      <c r="Y32" s="151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 spans="4:38" x14ac:dyDescent="0.25">
      <c r="D33" s="150"/>
      <c r="E33" s="150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X33" s="150"/>
      <c r="Y33" s="150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 spans="4:38" x14ac:dyDescent="0.25">
      <c r="D34" s="151"/>
      <c r="E34" s="151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X34" s="151"/>
      <c r="Y34" s="151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 spans="4:38" x14ac:dyDescent="0.25">
      <c r="D35" s="150"/>
      <c r="E35" s="150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X35" s="150"/>
      <c r="Y35" s="150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 spans="4:38" x14ac:dyDescent="0.25">
      <c r="D36" s="151"/>
      <c r="E36" s="151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X36" s="151"/>
      <c r="Y36" s="151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 spans="4:38" x14ac:dyDescent="0.25">
      <c r="D37" s="150"/>
      <c r="E37" s="150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X37" s="150"/>
      <c r="Y37" s="150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 spans="4:38" x14ac:dyDescent="0.25">
      <c r="D38" s="151"/>
      <c r="E38" s="151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X38" s="151"/>
      <c r="Y38" s="151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 spans="4:38" x14ac:dyDescent="0.25">
      <c r="D39" s="150"/>
      <c r="E39" s="150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X39" s="150"/>
      <c r="Y39" s="150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 spans="4:38" x14ac:dyDescent="0.25">
      <c r="D40" s="151"/>
      <c r="E40" s="151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X40" s="151"/>
      <c r="Y40" s="151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 spans="4:38" x14ac:dyDescent="0.25">
      <c r="D41" s="150"/>
      <c r="E41" s="150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X41" s="150"/>
      <c r="Y41" s="150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 spans="4:38" x14ac:dyDescent="0.25">
      <c r="D42" s="151"/>
      <c r="E42" s="151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X42" s="151"/>
      <c r="Y42" s="151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</row>
    <row r="43" spans="4:38" x14ac:dyDescent="0.25">
      <c r="D43" s="150"/>
      <c r="E43" s="150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X43" s="150"/>
      <c r="Y43" s="150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 spans="4:38" x14ac:dyDescent="0.25">
      <c r="D44" s="151"/>
      <c r="E44" s="151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X44" s="151"/>
      <c r="Y44" s="151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 spans="4:38" x14ac:dyDescent="0.25">
      <c r="D45" s="150"/>
      <c r="E45" s="150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X45" s="150"/>
      <c r="Y45" s="150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 spans="4:38" x14ac:dyDescent="0.25">
      <c r="D46" s="151"/>
      <c r="E46" s="151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X46" s="151"/>
      <c r="Y46" s="151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 spans="4:38" x14ac:dyDescent="0.25">
      <c r="D47" s="150"/>
      <c r="E47" s="150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</row>
    <row r="48" spans="4:38" x14ac:dyDescent="0.25">
      <c r="D48" s="151"/>
      <c r="E48" s="151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</row>
  </sheetData>
  <mergeCells count="82">
    <mergeCell ref="D13:D14"/>
    <mergeCell ref="E13:E14"/>
    <mergeCell ref="G6:L7"/>
    <mergeCell ref="D9:D10"/>
    <mergeCell ref="E9:E10"/>
    <mergeCell ref="D11:D12"/>
    <mergeCell ref="E11:E12"/>
    <mergeCell ref="D15:D16"/>
    <mergeCell ref="E15:E16"/>
    <mergeCell ref="D17:D18"/>
    <mergeCell ref="E17:E18"/>
    <mergeCell ref="D19:D20"/>
    <mergeCell ref="E19:E20"/>
    <mergeCell ref="D21:D22"/>
    <mergeCell ref="E21:E22"/>
    <mergeCell ref="D23:D24"/>
    <mergeCell ref="E23:E24"/>
    <mergeCell ref="D25:D26"/>
    <mergeCell ref="E25:E26"/>
    <mergeCell ref="D37:D38"/>
    <mergeCell ref="E37:E38"/>
    <mergeCell ref="D27:D28"/>
    <mergeCell ref="E27:E28"/>
    <mergeCell ref="D29:D30"/>
    <mergeCell ref="E29:E30"/>
    <mergeCell ref="D31:D32"/>
    <mergeCell ref="E31:E32"/>
    <mergeCell ref="X19:X20"/>
    <mergeCell ref="Y19:Y20"/>
    <mergeCell ref="D45:D46"/>
    <mergeCell ref="E45:E46"/>
    <mergeCell ref="D47:D48"/>
    <mergeCell ref="E47:E48"/>
    <mergeCell ref="D39:D40"/>
    <mergeCell ref="E39:E40"/>
    <mergeCell ref="D41:D42"/>
    <mergeCell ref="E41:E42"/>
    <mergeCell ref="D43:D44"/>
    <mergeCell ref="E43:E44"/>
    <mergeCell ref="D33:D34"/>
    <mergeCell ref="E33:E34"/>
    <mergeCell ref="D35:D36"/>
    <mergeCell ref="E35:E36"/>
    <mergeCell ref="X31:X32"/>
    <mergeCell ref="Y31:Y32"/>
    <mergeCell ref="X21:X22"/>
    <mergeCell ref="Y21:Y22"/>
    <mergeCell ref="X23:X24"/>
    <mergeCell ref="Y23:Y24"/>
    <mergeCell ref="X25:X26"/>
    <mergeCell ref="Y25:Y26"/>
    <mergeCell ref="X27:X28"/>
    <mergeCell ref="Y27:Y28"/>
    <mergeCell ref="X29:X30"/>
    <mergeCell ref="Y29:Y30"/>
    <mergeCell ref="X43:X44"/>
    <mergeCell ref="Y43:Y44"/>
    <mergeCell ref="X45:X46"/>
    <mergeCell ref="Y45:Y46"/>
    <mergeCell ref="X33:X34"/>
    <mergeCell ref="Y33:Y34"/>
    <mergeCell ref="X35:X36"/>
    <mergeCell ref="Y35:Y36"/>
    <mergeCell ref="X37:X38"/>
    <mergeCell ref="Y37:Y38"/>
    <mergeCell ref="X39:X40"/>
    <mergeCell ref="Y39:Y40"/>
    <mergeCell ref="X41:X42"/>
    <mergeCell ref="Y41:Y42"/>
    <mergeCell ref="X17:X18"/>
    <mergeCell ref="Y17:Y18"/>
    <mergeCell ref="AA4:AF5"/>
    <mergeCell ref="X7:X8"/>
    <mergeCell ref="Y7:Y8"/>
    <mergeCell ref="X9:X10"/>
    <mergeCell ref="Y9:Y10"/>
    <mergeCell ref="X11:X12"/>
    <mergeCell ref="Y11:Y12"/>
    <mergeCell ref="X13:X14"/>
    <mergeCell ref="Y13:Y14"/>
    <mergeCell ref="X15:X16"/>
    <mergeCell ref="Y15:Y16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4108E-FECF-4019-9EF1-226D6C25138B}">
  <dimension ref="G3:R30"/>
  <sheetViews>
    <sheetView rightToLeft="1" topLeftCell="C1" workbookViewId="0">
      <selection activeCell="J25" sqref="J25"/>
    </sheetView>
  </sheetViews>
  <sheetFormatPr defaultColWidth="11.42578125" defaultRowHeight="15" x14ac:dyDescent="0.25"/>
  <cols>
    <col min="4" max="4" width="5.7109375" customWidth="1"/>
    <col min="5" max="5" width="7.140625" customWidth="1"/>
    <col min="6" max="6" width="15" customWidth="1"/>
    <col min="7" max="7" width="16.85546875" hidden="1" customWidth="1"/>
    <col min="8" max="8" width="23" customWidth="1"/>
    <col min="9" max="9" width="21.5703125" customWidth="1"/>
    <col min="10" max="10" width="19" customWidth="1"/>
    <col min="11" max="11" width="20.85546875" customWidth="1"/>
    <col min="12" max="12" width="13.7109375" customWidth="1"/>
    <col min="13" max="13" width="3.85546875" customWidth="1"/>
    <col min="14" max="14" width="7.28515625" customWidth="1"/>
    <col min="15" max="15" width="18.5703125" customWidth="1"/>
    <col min="16" max="16" width="18" customWidth="1"/>
    <col min="17" max="17" width="19.85546875" customWidth="1"/>
    <col min="18" max="18" width="19.5703125" style="9" customWidth="1"/>
  </cols>
  <sheetData>
    <row r="3" spans="8:18" ht="15" customHeight="1" x14ac:dyDescent="0.25">
      <c r="H3" s="285" t="s">
        <v>172</v>
      </c>
      <c r="I3" s="245"/>
      <c r="J3" s="245"/>
      <c r="P3" s="282" t="s">
        <v>198</v>
      </c>
      <c r="Q3" s="283"/>
      <c r="R3" s="283"/>
    </row>
    <row r="4" spans="8:18" ht="15" customHeight="1" x14ac:dyDescent="0.25">
      <c r="H4" s="247"/>
      <c r="I4" s="248"/>
      <c r="J4" s="248"/>
      <c r="K4" s="9"/>
      <c r="P4" s="282"/>
      <c r="Q4" s="283"/>
      <c r="R4" s="283"/>
    </row>
    <row r="5" spans="8:18" ht="19.5" customHeight="1" x14ac:dyDescent="0.25"/>
    <row r="6" spans="8:18" ht="21" x14ac:dyDescent="0.35">
      <c r="H6" s="1" t="s">
        <v>0</v>
      </c>
      <c r="I6" s="7" t="s">
        <v>1</v>
      </c>
      <c r="J6" s="18" t="s">
        <v>176</v>
      </c>
      <c r="L6" s="284" t="s">
        <v>177</v>
      </c>
      <c r="P6" s="7" t="s">
        <v>0</v>
      </c>
      <c r="Q6" s="7" t="s">
        <v>1</v>
      </c>
      <c r="R6" s="18" t="s">
        <v>176</v>
      </c>
    </row>
    <row r="7" spans="8:18" ht="21" customHeight="1" x14ac:dyDescent="0.25">
      <c r="H7" s="150" t="s">
        <v>173</v>
      </c>
      <c r="I7" s="150" t="s">
        <v>174</v>
      </c>
      <c r="J7" s="16">
        <v>1200</v>
      </c>
      <c r="L7" s="284"/>
      <c r="P7" s="150" t="s">
        <v>199</v>
      </c>
      <c r="Q7" s="150" t="s">
        <v>200</v>
      </c>
      <c r="R7" s="16">
        <v>1200</v>
      </c>
    </row>
    <row r="8" spans="8:18" ht="22.5" customHeight="1" x14ac:dyDescent="0.25">
      <c r="H8" s="151"/>
      <c r="I8" s="151"/>
      <c r="J8" s="19" t="s">
        <v>175</v>
      </c>
      <c r="L8" s="284"/>
      <c r="P8" s="151"/>
      <c r="Q8" s="151"/>
      <c r="R8" s="16" t="s">
        <v>201</v>
      </c>
    </row>
    <row r="9" spans="8:18" ht="21" customHeight="1" x14ac:dyDescent="0.25">
      <c r="H9" s="150" t="s">
        <v>178</v>
      </c>
      <c r="I9" s="150" t="s">
        <v>179</v>
      </c>
      <c r="J9" s="16">
        <v>1200</v>
      </c>
      <c r="L9" s="284"/>
      <c r="P9" s="150" t="s">
        <v>202</v>
      </c>
      <c r="Q9" s="150"/>
      <c r="R9" s="16">
        <v>1200</v>
      </c>
    </row>
    <row r="10" spans="8:18" ht="27.75" customHeight="1" x14ac:dyDescent="0.25">
      <c r="H10" s="151"/>
      <c r="I10" s="151"/>
      <c r="J10" s="19" t="s">
        <v>180</v>
      </c>
      <c r="L10" s="284"/>
      <c r="P10" s="151"/>
      <c r="Q10" s="151"/>
      <c r="R10" s="16" t="s">
        <v>203</v>
      </c>
    </row>
    <row r="11" spans="8:18" ht="29.25" customHeight="1" x14ac:dyDescent="0.25">
      <c r="H11" s="150" t="s">
        <v>181</v>
      </c>
      <c r="I11" s="150" t="s">
        <v>182</v>
      </c>
      <c r="J11" s="16">
        <v>1200</v>
      </c>
      <c r="L11" s="284"/>
      <c r="P11" s="150" t="s">
        <v>204</v>
      </c>
      <c r="Q11" s="150"/>
      <c r="R11" s="16">
        <v>1200</v>
      </c>
    </row>
    <row r="12" spans="8:18" ht="15" customHeight="1" x14ac:dyDescent="0.25">
      <c r="H12" s="151"/>
      <c r="I12" s="151"/>
      <c r="J12" s="19" t="s">
        <v>183</v>
      </c>
      <c r="L12" s="284"/>
      <c r="P12" s="151"/>
      <c r="Q12" s="151"/>
      <c r="R12" s="16" t="s">
        <v>205</v>
      </c>
    </row>
    <row r="13" spans="8:18" ht="15" customHeight="1" x14ac:dyDescent="0.25">
      <c r="H13" s="150" t="s">
        <v>184</v>
      </c>
      <c r="I13" s="150" t="s">
        <v>187</v>
      </c>
      <c r="J13" s="16">
        <v>1200</v>
      </c>
      <c r="L13" s="284"/>
      <c r="P13" s="150" t="s">
        <v>206</v>
      </c>
      <c r="Q13" s="150"/>
      <c r="R13" s="16">
        <v>1200</v>
      </c>
    </row>
    <row r="14" spans="8:18" ht="21" customHeight="1" x14ac:dyDescent="0.25">
      <c r="H14" s="151"/>
      <c r="I14" s="151"/>
      <c r="J14" s="19" t="s">
        <v>185</v>
      </c>
      <c r="L14" s="284"/>
      <c r="P14" s="151"/>
      <c r="Q14" s="151"/>
      <c r="R14" s="16" t="s">
        <v>207</v>
      </c>
    </row>
    <row r="15" spans="8:18" ht="15" customHeight="1" x14ac:dyDescent="0.25">
      <c r="H15" s="150" t="s">
        <v>186</v>
      </c>
      <c r="I15" s="150"/>
      <c r="J15" s="16">
        <v>1200</v>
      </c>
      <c r="L15" s="284"/>
      <c r="P15" s="150" t="s">
        <v>260</v>
      </c>
      <c r="Q15" s="150"/>
      <c r="R15" s="16">
        <v>1200</v>
      </c>
    </row>
    <row r="16" spans="8:18" ht="15" customHeight="1" x14ac:dyDescent="0.25">
      <c r="H16" s="151"/>
      <c r="I16" s="151"/>
      <c r="J16" s="19" t="s">
        <v>188</v>
      </c>
      <c r="L16" s="284"/>
      <c r="P16" s="151"/>
      <c r="Q16" s="151"/>
      <c r="R16" s="16" t="s">
        <v>261</v>
      </c>
    </row>
    <row r="17" spans="8:18" ht="15" customHeight="1" x14ac:dyDescent="0.25">
      <c r="H17" s="150" t="s">
        <v>189</v>
      </c>
      <c r="I17" s="150" t="s">
        <v>190</v>
      </c>
      <c r="J17" s="16">
        <v>1200</v>
      </c>
      <c r="L17" s="284"/>
      <c r="P17" s="150" t="s">
        <v>353</v>
      </c>
      <c r="Q17" s="150" t="s">
        <v>354</v>
      </c>
      <c r="R17" s="16" t="s">
        <v>356</v>
      </c>
    </row>
    <row r="18" spans="8:18" ht="15" customHeight="1" x14ac:dyDescent="0.25">
      <c r="H18" s="151"/>
      <c r="I18" s="151"/>
      <c r="J18" s="19" t="s">
        <v>191</v>
      </c>
      <c r="L18" s="284"/>
      <c r="P18" s="151"/>
      <c r="Q18" s="151"/>
      <c r="R18" s="16" t="s">
        <v>355</v>
      </c>
    </row>
    <row r="19" spans="8:18" ht="15" customHeight="1" x14ac:dyDescent="0.25">
      <c r="H19" s="150" t="s">
        <v>192</v>
      </c>
      <c r="I19" s="150" t="s">
        <v>193</v>
      </c>
      <c r="J19" s="16">
        <v>1200</v>
      </c>
      <c r="L19" s="284"/>
      <c r="P19" s="150"/>
      <c r="Q19" s="12"/>
      <c r="R19" s="16"/>
    </row>
    <row r="20" spans="8:18" ht="15" customHeight="1" x14ac:dyDescent="0.25">
      <c r="H20" s="151"/>
      <c r="I20" s="151"/>
      <c r="J20" s="19" t="s">
        <v>194</v>
      </c>
      <c r="L20" s="284"/>
      <c r="P20" s="151"/>
      <c r="Q20" s="13"/>
      <c r="R20" s="16"/>
    </row>
    <row r="21" spans="8:18" ht="15" customHeight="1" x14ac:dyDescent="0.25">
      <c r="H21" s="150" t="s">
        <v>195</v>
      </c>
      <c r="I21" s="150" t="s">
        <v>197</v>
      </c>
      <c r="J21" s="16">
        <v>1200</v>
      </c>
      <c r="L21" s="284"/>
      <c r="P21" s="11"/>
      <c r="Q21" s="11"/>
      <c r="R21" s="16"/>
    </row>
    <row r="22" spans="8:18" ht="15" customHeight="1" x14ac:dyDescent="0.25">
      <c r="H22" s="151"/>
      <c r="I22" s="151"/>
      <c r="J22" s="19" t="s">
        <v>196</v>
      </c>
      <c r="L22" s="284"/>
      <c r="P22" s="11"/>
      <c r="Q22" s="11"/>
      <c r="R22" s="16"/>
    </row>
    <row r="23" spans="8:18" ht="15" customHeight="1" x14ac:dyDescent="0.25">
      <c r="H23" s="150" t="s">
        <v>216</v>
      </c>
      <c r="I23" s="150"/>
      <c r="J23" s="16" t="s">
        <v>220</v>
      </c>
      <c r="L23" s="284"/>
      <c r="P23" s="12"/>
      <c r="Q23" s="12"/>
      <c r="R23" s="16"/>
    </row>
    <row r="24" spans="8:18" ht="15" customHeight="1" x14ac:dyDescent="0.25">
      <c r="H24" s="151"/>
      <c r="I24" s="151"/>
      <c r="J24" s="19" t="s">
        <v>219</v>
      </c>
      <c r="L24" s="284"/>
      <c r="P24" s="13"/>
      <c r="Q24" s="13"/>
      <c r="R24" s="16"/>
    </row>
    <row r="25" spans="8:18" ht="15" customHeight="1" x14ac:dyDescent="0.25">
      <c r="H25" s="150" t="s">
        <v>217</v>
      </c>
      <c r="I25" s="150" t="s">
        <v>218</v>
      </c>
      <c r="J25" s="16" t="s">
        <v>220</v>
      </c>
      <c r="L25" s="284"/>
      <c r="P25" s="11"/>
      <c r="Q25" s="11"/>
      <c r="R25" s="16"/>
    </row>
    <row r="26" spans="8:18" ht="15" customHeight="1" x14ac:dyDescent="0.25">
      <c r="H26" s="151"/>
      <c r="I26" s="151"/>
      <c r="J26" s="19" t="s">
        <v>221</v>
      </c>
      <c r="L26" s="284"/>
      <c r="P26" s="11"/>
      <c r="Q26" s="11"/>
      <c r="R26" s="16"/>
    </row>
    <row r="27" spans="8:18" ht="15" customHeight="1" x14ac:dyDescent="0.25">
      <c r="H27" s="150" t="s">
        <v>192</v>
      </c>
      <c r="I27" s="150" t="s">
        <v>193</v>
      </c>
      <c r="J27" s="16">
        <v>1200</v>
      </c>
      <c r="L27" s="10"/>
      <c r="P27" s="150"/>
      <c r="Q27" s="150"/>
      <c r="R27" s="16"/>
    </row>
    <row r="28" spans="8:18" ht="15" customHeight="1" x14ac:dyDescent="0.25">
      <c r="H28" s="151"/>
      <c r="I28" s="151"/>
      <c r="J28" s="19" t="s">
        <v>194</v>
      </c>
      <c r="L28" s="10"/>
      <c r="P28" s="151"/>
      <c r="Q28" s="151"/>
      <c r="R28" s="16"/>
    </row>
    <row r="29" spans="8:18" x14ac:dyDescent="0.25">
      <c r="H29" s="150" t="s">
        <v>618</v>
      </c>
      <c r="I29" s="150"/>
      <c r="J29" s="16">
        <v>1200</v>
      </c>
    </row>
    <row r="30" spans="8:18" x14ac:dyDescent="0.25">
      <c r="H30" s="151"/>
      <c r="I30" s="151"/>
      <c r="J30" s="19" t="s">
        <v>619</v>
      </c>
    </row>
  </sheetData>
  <mergeCells count="42">
    <mergeCell ref="H29:H30"/>
    <mergeCell ref="I29:I30"/>
    <mergeCell ref="L6:L26"/>
    <mergeCell ref="H21:H22"/>
    <mergeCell ref="H3:J4"/>
    <mergeCell ref="H23:H24"/>
    <mergeCell ref="I23:I24"/>
    <mergeCell ref="H7:H8"/>
    <mergeCell ref="I7:I8"/>
    <mergeCell ref="H9:H10"/>
    <mergeCell ref="I9:I10"/>
    <mergeCell ref="H27:H28"/>
    <mergeCell ref="I27:I28"/>
    <mergeCell ref="H19:H20"/>
    <mergeCell ref="I19:I20"/>
    <mergeCell ref="I11:I12"/>
    <mergeCell ref="I21:I22"/>
    <mergeCell ref="H25:H26"/>
    <mergeCell ref="I25:I26"/>
    <mergeCell ref="H13:H14"/>
    <mergeCell ref="I13:I14"/>
    <mergeCell ref="H15:H16"/>
    <mergeCell ref="I15:I16"/>
    <mergeCell ref="H17:H18"/>
    <mergeCell ref="I17:I18"/>
    <mergeCell ref="H11:H12"/>
    <mergeCell ref="P17:P18"/>
    <mergeCell ref="P19:P20"/>
    <mergeCell ref="Q7:Q8"/>
    <mergeCell ref="P3:R4"/>
    <mergeCell ref="Q27:Q28"/>
    <mergeCell ref="Q9:Q10"/>
    <mergeCell ref="Q11:Q12"/>
    <mergeCell ref="Q13:Q14"/>
    <mergeCell ref="Q15:Q16"/>
    <mergeCell ref="Q17:Q18"/>
    <mergeCell ref="P27:P28"/>
    <mergeCell ref="P7:P8"/>
    <mergeCell ref="P9:P10"/>
    <mergeCell ref="P11:P12"/>
    <mergeCell ref="P13:P14"/>
    <mergeCell ref="P15:P16"/>
  </mergeCells>
  <phoneticPr fontId="6" type="noConversion"/>
  <pageMargins left="0.7" right="0.7" top="0.75" bottom="0.75" header="0.3" footer="0.3"/>
  <pageSetup paperSize="9" orientation="portrait" horizontalDpi="4294967293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499B1-404E-4262-A279-20D8EAABB680}">
  <dimension ref="B3:AY46"/>
  <sheetViews>
    <sheetView rightToLeft="1" workbookViewId="0">
      <selection activeCell="G28" sqref="G28"/>
    </sheetView>
  </sheetViews>
  <sheetFormatPr defaultColWidth="11.42578125" defaultRowHeight="15" x14ac:dyDescent="0.25"/>
  <cols>
    <col min="2" max="2" width="18.5703125" bestFit="1" customWidth="1"/>
    <col min="3" max="3" width="18.5703125" customWidth="1"/>
    <col min="4" max="4" width="22.5703125" bestFit="1" customWidth="1"/>
    <col min="5" max="5" width="18.7109375" bestFit="1" customWidth="1"/>
    <col min="18" max="18" width="18.5703125" bestFit="1" customWidth="1"/>
    <col min="19" max="19" width="21.7109375" style="9" customWidth="1"/>
    <col min="20" max="20" width="22.5703125" bestFit="1" customWidth="1"/>
    <col min="21" max="21" width="18.7109375" bestFit="1" customWidth="1"/>
    <col min="37" max="37" width="17.140625" customWidth="1"/>
    <col min="38" max="38" width="18.140625" customWidth="1"/>
    <col min="39" max="39" width="21.140625" customWidth="1"/>
    <col min="40" max="40" width="19.5703125" customWidth="1"/>
  </cols>
  <sheetData>
    <row r="3" spans="2:51" x14ac:dyDescent="0.25">
      <c r="AL3" s="9"/>
      <c r="AN3" s="286" t="s">
        <v>691</v>
      </c>
      <c r="AO3" s="287"/>
      <c r="AP3" s="287"/>
      <c r="AQ3" s="287"/>
      <c r="AR3" s="287"/>
      <c r="AS3" s="288"/>
    </row>
    <row r="4" spans="2:51" ht="15" customHeight="1" x14ac:dyDescent="0.25">
      <c r="E4" s="270" t="s">
        <v>56</v>
      </c>
      <c r="F4" s="271"/>
      <c r="G4" s="271"/>
      <c r="H4" s="271"/>
      <c r="I4" s="271"/>
      <c r="J4" s="272"/>
      <c r="U4" s="270" t="s">
        <v>55</v>
      </c>
      <c r="V4" s="271"/>
      <c r="W4" s="271"/>
      <c r="X4" s="271"/>
      <c r="Y4" s="271"/>
      <c r="Z4" s="272"/>
      <c r="AL4" s="9"/>
      <c r="AN4" s="289"/>
      <c r="AO4" s="290"/>
      <c r="AP4" s="290"/>
      <c r="AQ4" s="290"/>
      <c r="AR4" s="290"/>
      <c r="AS4" s="291"/>
    </row>
    <row r="5" spans="2:51" ht="21" x14ac:dyDescent="0.35">
      <c r="E5" s="273"/>
      <c r="F5" s="274"/>
      <c r="G5" s="274"/>
      <c r="H5" s="274"/>
      <c r="I5" s="274"/>
      <c r="J5" s="275"/>
      <c r="U5" s="273"/>
      <c r="V5" s="274"/>
      <c r="W5" s="274"/>
      <c r="X5" s="274"/>
      <c r="Y5" s="274"/>
      <c r="Z5" s="275"/>
      <c r="AK5" s="1" t="s">
        <v>0</v>
      </c>
      <c r="AL5" s="7" t="s">
        <v>1</v>
      </c>
      <c r="AM5" s="1" t="s">
        <v>2</v>
      </c>
      <c r="AN5" s="7" t="s">
        <v>3</v>
      </c>
      <c r="AO5" s="1" t="s">
        <v>4</v>
      </c>
      <c r="AP5" s="1" t="s">
        <v>5</v>
      </c>
      <c r="AQ5" s="1" t="s">
        <v>6</v>
      </c>
      <c r="AR5" s="1" t="s">
        <v>7</v>
      </c>
      <c r="AS5" s="1" t="s">
        <v>8</v>
      </c>
      <c r="AT5" s="1" t="s">
        <v>9</v>
      </c>
      <c r="AU5" s="1" t="s">
        <v>10</v>
      </c>
      <c r="AV5" s="1" t="s">
        <v>11</v>
      </c>
      <c r="AW5" s="1" t="s">
        <v>12</v>
      </c>
      <c r="AX5" s="1" t="s">
        <v>13</v>
      </c>
      <c r="AY5" s="1" t="s">
        <v>14</v>
      </c>
    </row>
    <row r="6" spans="2:51" ht="21" x14ac:dyDescent="0.35">
      <c r="B6" s="1" t="s">
        <v>0</v>
      </c>
      <c r="C6" s="1" t="s">
        <v>1</v>
      </c>
      <c r="D6" s="1" t="s">
        <v>2</v>
      </c>
      <c r="E6" s="7" t="s">
        <v>3</v>
      </c>
      <c r="F6" s="1" t="s">
        <v>4</v>
      </c>
      <c r="G6" s="1" t="s">
        <v>5</v>
      </c>
      <c r="H6" s="1" t="s">
        <v>6</v>
      </c>
      <c r="I6" s="1" t="s">
        <v>7</v>
      </c>
      <c r="J6" s="1" t="s">
        <v>8</v>
      </c>
      <c r="K6" s="1" t="s">
        <v>9</v>
      </c>
      <c r="L6" s="1" t="s">
        <v>10</v>
      </c>
      <c r="M6" s="1" t="s">
        <v>11</v>
      </c>
      <c r="N6" s="1" t="s">
        <v>12</v>
      </c>
      <c r="O6" s="1" t="s">
        <v>13</v>
      </c>
      <c r="P6" s="1" t="s">
        <v>14</v>
      </c>
      <c r="R6" s="1" t="s">
        <v>0</v>
      </c>
      <c r="S6" s="7" t="s">
        <v>1</v>
      </c>
      <c r="T6" s="1" t="s">
        <v>2</v>
      </c>
      <c r="U6" s="7" t="s">
        <v>3</v>
      </c>
      <c r="V6" s="1" t="s">
        <v>4</v>
      </c>
      <c r="W6" s="1" t="s">
        <v>5</v>
      </c>
      <c r="X6" s="1" t="s">
        <v>6</v>
      </c>
      <c r="Y6" s="1" t="s">
        <v>7</v>
      </c>
      <c r="Z6" s="1" t="s">
        <v>8</v>
      </c>
      <c r="AA6" s="1" t="s">
        <v>9</v>
      </c>
      <c r="AB6" s="1" t="s">
        <v>10</v>
      </c>
      <c r="AC6" s="1" t="s">
        <v>11</v>
      </c>
      <c r="AD6" s="1" t="s">
        <v>12</v>
      </c>
      <c r="AE6" s="1" t="s">
        <v>13</v>
      </c>
      <c r="AF6" s="1" t="s">
        <v>14</v>
      </c>
      <c r="AK6" s="150" t="s">
        <v>712</v>
      </c>
      <c r="AL6" s="150"/>
      <c r="AM6" s="2">
        <v>250</v>
      </c>
      <c r="AN6" s="2">
        <v>1200</v>
      </c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</row>
    <row r="7" spans="2:51" x14ac:dyDescent="0.25">
      <c r="B7" s="150" t="s">
        <v>603</v>
      </c>
      <c r="C7" s="150"/>
      <c r="D7" s="2">
        <v>250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R7" s="150" t="s">
        <v>626</v>
      </c>
      <c r="S7" s="150"/>
      <c r="T7" s="2">
        <v>250</v>
      </c>
      <c r="U7" s="2">
        <v>1200</v>
      </c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K7" s="151"/>
      <c r="AL7" s="151"/>
      <c r="AM7" s="2" t="s">
        <v>781</v>
      </c>
      <c r="AN7" s="2" t="s">
        <v>781</v>
      </c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</row>
    <row r="8" spans="2:51" x14ac:dyDescent="0.25">
      <c r="B8" s="151"/>
      <c r="C8" s="151"/>
      <c r="D8" s="2" t="s">
        <v>604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R8" s="151"/>
      <c r="S8" s="151"/>
      <c r="T8" s="2" t="s">
        <v>627</v>
      </c>
      <c r="U8" s="2" t="s">
        <v>627</v>
      </c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K8" s="150" t="s">
        <v>782</v>
      </c>
      <c r="AL8" s="150"/>
      <c r="AM8" s="2">
        <v>250</v>
      </c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</row>
    <row r="9" spans="2:51" x14ac:dyDescent="0.25">
      <c r="B9" s="150" t="s">
        <v>204</v>
      </c>
      <c r="C9" s="150"/>
      <c r="D9" s="2">
        <v>250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R9" s="150" t="s">
        <v>712</v>
      </c>
      <c r="S9" s="150" t="s">
        <v>713</v>
      </c>
      <c r="T9" s="2">
        <v>250</v>
      </c>
      <c r="U9" s="2">
        <v>1200</v>
      </c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K9" s="151"/>
      <c r="AL9" s="151"/>
      <c r="AM9" s="2" t="s">
        <v>784</v>
      </c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</row>
    <row r="10" spans="2:51" x14ac:dyDescent="0.25">
      <c r="B10" s="151"/>
      <c r="C10" s="151"/>
      <c r="D10" s="2" t="s">
        <v>605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R10" s="151"/>
      <c r="S10" s="151"/>
      <c r="T10" s="2" t="s">
        <v>714</v>
      </c>
      <c r="U10" s="2" t="s">
        <v>714</v>
      </c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K10" s="150" t="s">
        <v>1222</v>
      </c>
      <c r="AL10" s="150"/>
      <c r="AM10" s="2">
        <v>250</v>
      </c>
      <c r="AN10" s="2">
        <v>1200</v>
      </c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</row>
    <row r="11" spans="2:51" x14ac:dyDescent="0.25">
      <c r="B11" s="150" t="s">
        <v>206</v>
      </c>
      <c r="C11" s="150"/>
      <c r="D11" s="2">
        <v>250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R11" s="150" t="s">
        <v>782</v>
      </c>
      <c r="S11" s="150"/>
      <c r="T11" s="2">
        <v>250</v>
      </c>
      <c r="U11" s="2">
        <v>1200</v>
      </c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K11" s="151"/>
      <c r="AL11" s="151"/>
      <c r="AM11" s="2" t="s">
        <v>1223</v>
      </c>
      <c r="AN11" s="2" t="s">
        <v>1223</v>
      </c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</row>
    <row r="12" spans="2:51" x14ac:dyDescent="0.25">
      <c r="B12" s="151"/>
      <c r="C12" s="151"/>
      <c r="D12" s="2" t="s">
        <v>606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R12" s="151"/>
      <c r="S12" s="151"/>
      <c r="T12" s="2" t="s">
        <v>783</v>
      </c>
      <c r="U12" s="2" t="s">
        <v>783</v>
      </c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K12" s="150"/>
      <c r="AL12" s="150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</row>
    <row r="13" spans="2:51" x14ac:dyDescent="0.25">
      <c r="B13" s="150" t="s">
        <v>626</v>
      </c>
      <c r="C13" s="150"/>
      <c r="D13" s="2">
        <v>250</v>
      </c>
      <c r="E13" s="2">
        <v>1200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R13" s="150" t="s">
        <v>199</v>
      </c>
      <c r="S13" s="150"/>
      <c r="T13" s="2"/>
      <c r="U13" s="2">
        <v>1200</v>
      </c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K13" s="151"/>
      <c r="AL13" s="151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</row>
    <row r="14" spans="2:51" x14ac:dyDescent="0.25">
      <c r="B14" s="151"/>
      <c r="C14" s="151"/>
      <c r="D14" s="2" t="s">
        <v>627</v>
      </c>
      <c r="E14" s="2" t="s">
        <v>627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R14" s="151"/>
      <c r="S14" s="151"/>
      <c r="T14" s="2"/>
      <c r="U14" s="2" t="s">
        <v>1224</v>
      </c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K14" s="150"/>
      <c r="AL14" s="150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</row>
    <row r="15" spans="2:51" x14ac:dyDescent="0.25">
      <c r="B15" s="150" t="s">
        <v>712</v>
      </c>
      <c r="C15" s="150" t="s">
        <v>713</v>
      </c>
      <c r="D15" s="2">
        <v>250</v>
      </c>
      <c r="E15" s="2">
        <v>1200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R15" s="150" t="s">
        <v>1225</v>
      </c>
      <c r="S15" s="150"/>
      <c r="T15" s="2">
        <v>250</v>
      </c>
      <c r="U15" s="2">
        <v>1200</v>
      </c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K15" s="151"/>
      <c r="AL15" s="151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</row>
    <row r="16" spans="2:51" x14ac:dyDescent="0.25">
      <c r="B16" s="151"/>
      <c r="C16" s="151"/>
      <c r="D16" s="2" t="s">
        <v>714</v>
      </c>
      <c r="E16" s="2" t="s">
        <v>714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R16" s="151"/>
      <c r="S16" s="151"/>
      <c r="T16" s="2" t="s">
        <v>1226</v>
      </c>
      <c r="U16" s="2" t="s">
        <v>1226</v>
      </c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K16" s="150"/>
      <c r="AL16" s="150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</row>
    <row r="17" spans="2:51" x14ac:dyDescent="0.25">
      <c r="B17" s="150" t="s">
        <v>782</v>
      </c>
      <c r="C17" s="150"/>
      <c r="D17" s="2">
        <v>250</v>
      </c>
      <c r="E17" s="2">
        <v>1200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R17" s="150"/>
      <c r="S17" s="150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K17" s="151"/>
      <c r="AL17" s="151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</row>
    <row r="18" spans="2:51" x14ac:dyDescent="0.25">
      <c r="B18" s="151"/>
      <c r="C18" s="151"/>
      <c r="D18" s="2" t="s">
        <v>783</v>
      </c>
      <c r="E18" s="2" t="s">
        <v>783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R18" s="151"/>
      <c r="S18" s="151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K18" s="150"/>
      <c r="AL18" s="150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</row>
    <row r="19" spans="2:51" x14ac:dyDescent="0.25">
      <c r="B19" s="150" t="s">
        <v>796</v>
      </c>
      <c r="C19" s="150" t="s">
        <v>797</v>
      </c>
      <c r="D19" s="2"/>
      <c r="E19" s="2">
        <v>1200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R19" s="150"/>
      <c r="S19" s="150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K19" s="151"/>
      <c r="AL19" s="151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</row>
    <row r="20" spans="2:51" x14ac:dyDescent="0.25">
      <c r="B20" s="151"/>
      <c r="C20" s="151"/>
      <c r="D20" s="2"/>
      <c r="E20" s="2" t="s">
        <v>798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R20" s="151"/>
      <c r="S20" s="151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K20" s="150"/>
      <c r="AL20" s="150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</row>
    <row r="21" spans="2:51" x14ac:dyDescent="0.25">
      <c r="B21" s="150" t="s">
        <v>199</v>
      </c>
      <c r="C21" s="150"/>
      <c r="D21" s="2"/>
      <c r="E21" s="2">
        <v>1200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R21" s="150"/>
      <c r="S21" s="150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K21" s="151"/>
      <c r="AL21" s="151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</row>
    <row r="22" spans="2:51" x14ac:dyDescent="0.25">
      <c r="B22" s="151"/>
      <c r="C22" s="151"/>
      <c r="D22" s="2"/>
      <c r="E22" s="2" t="s">
        <v>1224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R22" s="151"/>
      <c r="S22" s="151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K22" s="150"/>
      <c r="AL22" s="150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</row>
    <row r="23" spans="2:51" x14ac:dyDescent="0.25">
      <c r="B23" s="150" t="s">
        <v>1225</v>
      </c>
      <c r="C23" s="150"/>
      <c r="D23" s="2">
        <v>250</v>
      </c>
      <c r="E23" s="2">
        <v>1200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R23" s="150"/>
      <c r="S23" s="150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K23" s="151"/>
      <c r="AL23" s="151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</row>
    <row r="24" spans="2:51" x14ac:dyDescent="0.25">
      <c r="B24" s="151"/>
      <c r="C24" s="151"/>
      <c r="D24" s="2" t="s">
        <v>1226</v>
      </c>
      <c r="E24" s="2" t="s">
        <v>1226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R24" s="151"/>
      <c r="S24" s="151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K24" s="150"/>
      <c r="AL24" s="150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</row>
    <row r="25" spans="2:51" x14ac:dyDescent="0.25">
      <c r="B25" s="150" t="s">
        <v>1227</v>
      </c>
      <c r="C25" s="150"/>
      <c r="D25" s="2">
        <v>250</v>
      </c>
      <c r="E25" s="2">
        <v>1200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R25" s="150"/>
      <c r="S25" s="150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K25" s="151"/>
      <c r="AL25" s="151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</row>
    <row r="26" spans="2:51" x14ac:dyDescent="0.25">
      <c r="B26" s="151"/>
      <c r="C26" s="151"/>
      <c r="D26" s="2" t="s">
        <v>1228</v>
      </c>
      <c r="E26" s="2" t="s">
        <v>1228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R26" s="151"/>
      <c r="S26" s="151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K26" s="150"/>
      <c r="AL26" s="150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</row>
    <row r="27" spans="2:51" x14ac:dyDescent="0.25">
      <c r="B27" s="150" t="s">
        <v>1229</v>
      </c>
      <c r="C27" s="150"/>
      <c r="D27" s="2">
        <v>250</v>
      </c>
      <c r="E27" s="2">
        <v>1200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R27" s="150"/>
      <c r="S27" s="150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K27" s="151"/>
      <c r="AL27" s="151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</row>
    <row r="28" spans="2:51" x14ac:dyDescent="0.25">
      <c r="B28" s="151"/>
      <c r="C28" s="151"/>
      <c r="D28" s="2" t="s">
        <v>1230</v>
      </c>
      <c r="E28" s="2" t="s">
        <v>1230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R28" s="151"/>
      <c r="S28" s="151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K28" s="150"/>
      <c r="AL28" s="150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</row>
    <row r="29" spans="2:51" x14ac:dyDescent="0.25">
      <c r="B29" s="150"/>
      <c r="C29" s="150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R29" s="150"/>
      <c r="S29" s="150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K29" s="151"/>
      <c r="AL29" s="151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</row>
    <row r="30" spans="2:51" x14ac:dyDescent="0.25">
      <c r="B30" s="151"/>
      <c r="C30" s="151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R30" s="151"/>
      <c r="S30" s="151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K30" s="150"/>
      <c r="AL30" s="150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</row>
    <row r="31" spans="2:51" x14ac:dyDescent="0.25">
      <c r="B31" s="150"/>
      <c r="C31" s="150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R31" s="150"/>
      <c r="S31" s="150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K31" s="151"/>
      <c r="AL31" s="151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</row>
    <row r="32" spans="2:51" x14ac:dyDescent="0.25">
      <c r="B32" s="151"/>
      <c r="C32" s="151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R32" s="151"/>
      <c r="S32" s="151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K32" s="150"/>
      <c r="AL32" s="150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</row>
    <row r="33" spans="2:51" x14ac:dyDescent="0.25">
      <c r="B33" s="150"/>
      <c r="C33" s="150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R33" s="150"/>
      <c r="S33" s="150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K33" s="151"/>
      <c r="AL33" s="151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</row>
    <row r="34" spans="2:51" x14ac:dyDescent="0.25">
      <c r="B34" s="151"/>
      <c r="C34" s="151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R34" s="151"/>
      <c r="S34" s="151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K34" s="150"/>
      <c r="AL34" s="150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</row>
    <row r="35" spans="2:51" x14ac:dyDescent="0.25">
      <c r="B35" s="150"/>
      <c r="C35" s="150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R35" s="150"/>
      <c r="S35" s="150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K35" s="151"/>
      <c r="AL35" s="151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</row>
    <row r="36" spans="2:51" x14ac:dyDescent="0.25">
      <c r="B36" s="151"/>
      <c r="C36" s="151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R36" s="151"/>
      <c r="S36" s="151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K36" s="150"/>
      <c r="AL36" s="150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</row>
    <row r="37" spans="2:51" x14ac:dyDescent="0.25">
      <c r="B37" s="150"/>
      <c r="C37" s="150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R37" s="150"/>
      <c r="S37" s="150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K37" s="151"/>
      <c r="AL37" s="151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</row>
    <row r="38" spans="2:51" x14ac:dyDescent="0.25">
      <c r="B38" s="151"/>
      <c r="C38" s="151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R38" s="151"/>
      <c r="S38" s="151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K38" s="150"/>
      <c r="AL38" s="150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</row>
    <row r="39" spans="2:51" x14ac:dyDescent="0.25">
      <c r="B39" s="150"/>
      <c r="C39" s="150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R39" s="150"/>
      <c r="S39" s="150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K39" s="151"/>
      <c r="AL39" s="151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</row>
    <row r="40" spans="2:51" x14ac:dyDescent="0.25">
      <c r="B40" s="151"/>
      <c r="C40" s="151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R40" s="151"/>
      <c r="S40" s="151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K40" s="150"/>
      <c r="AL40" s="150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</row>
    <row r="41" spans="2:51" x14ac:dyDescent="0.25">
      <c r="B41" s="150"/>
      <c r="C41" s="150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R41" s="150"/>
      <c r="S41" s="150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K41" s="151"/>
      <c r="AL41" s="151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</row>
    <row r="42" spans="2:51" x14ac:dyDescent="0.25">
      <c r="B42" s="151"/>
      <c r="C42" s="151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R42" s="151"/>
      <c r="S42" s="151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K42" s="150"/>
      <c r="AL42" s="150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</row>
    <row r="43" spans="2:51" x14ac:dyDescent="0.25">
      <c r="B43" s="150"/>
      <c r="C43" s="150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R43" s="150"/>
      <c r="S43" s="150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K43" s="151"/>
      <c r="AL43" s="151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</row>
    <row r="44" spans="2:51" x14ac:dyDescent="0.25">
      <c r="B44" s="151"/>
      <c r="C44" s="151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R44" s="151"/>
      <c r="S44" s="151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K44" s="150"/>
      <c r="AL44" s="150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</row>
    <row r="45" spans="2:51" x14ac:dyDescent="0.25">
      <c r="B45" s="150"/>
      <c r="C45" s="150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R45" s="150"/>
      <c r="S45" s="150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K45" s="151"/>
      <c r="AL45" s="151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</row>
    <row r="46" spans="2:51" x14ac:dyDescent="0.25">
      <c r="B46" s="151"/>
      <c r="C46" s="151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R46" s="151"/>
      <c r="S46" s="151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</sheetData>
  <mergeCells count="123">
    <mergeCell ref="R31:R32"/>
    <mergeCell ref="S31:S32"/>
    <mergeCell ref="R33:R34"/>
    <mergeCell ref="S33:S34"/>
    <mergeCell ref="R35:R36"/>
    <mergeCell ref="S35:S36"/>
    <mergeCell ref="R43:R44"/>
    <mergeCell ref="S43:S44"/>
    <mergeCell ref="R45:R46"/>
    <mergeCell ref="S45:S46"/>
    <mergeCell ref="R37:R38"/>
    <mergeCell ref="S37:S38"/>
    <mergeCell ref="R39:R40"/>
    <mergeCell ref="S39:S40"/>
    <mergeCell ref="R41:R42"/>
    <mergeCell ref="S41:S42"/>
    <mergeCell ref="R13:R14"/>
    <mergeCell ref="S13:S14"/>
    <mergeCell ref="R15:R16"/>
    <mergeCell ref="S15:S16"/>
    <mergeCell ref="R11:R12"/>
    <mergeCell ref="R19:R20"/>
    <mergeCell ref="S19:S20"/>
    <mergeCell ref="R21:R22"/>
    <mergeCell ref="S21:S22"/>
    <mergeCell ref="R17:R18"/>
    <mergeCell ref="S17:S18"/>
    <mergeCell ref="B43:B44"/>
    <mergeCell ref="C43:C44"/>
    <mergeCell ref="B45:B46"/>
    <mergeCell ref="C45:C46"/>
    <mergeCell ref="B37:B38"/>
    <mergeCell ref="C37:C38"/>
    <mergeCell ref="B39:B40"/>
    <mergeCell ref="C39:C40"/>
    <mergeCell ref="B41:B42"/>
    <mergeCell ref="C41:C42"/>
    <mergeCell ref="R23:R24"/>
    <mergeCell ref="S23:S24"/>
    <mergeCell ref="R25:R26"/>
    <mergeCell ref="S25:S26"/>
    <mergeCell ref="R27:R28"/>
    <mergeCell ref="S27:S28"/>
    <mergeCell ref="R29:R30"/>
    <mergeCell ref="S29:S30"/>
    <mergeCell ref="B23:B24"/>
    <mergeCell ref="C23:C24"/>
    <mergeCell ref="B35:B36"/>
    <mergeCell ref="C35:C36"/>
    <mergeCell ref="B25:B26"/>
    <mergeCell ref="C25:C26"/>
    <mergeCell ref="B27:B28"/>
    <mergeCell ref="C27:C28"/>
    <mergeCell ref="B29:B30"/>
    <mergeCell ref="C29:C30"/>
    <mergeCell ref="B13:B14"/>
    <mergeCell ref="C13:C14"/>
    <mergeCell ref="B15:B16"/>
    <mergeCell ref="C15:C16"/>
    <mergeCell ref="B17:B18"/>
    <mergeCell ref="C17:C18"/>
    <mergeCell ref="B19:B20"/>
    <mergeCell ref="C19:C20"/>
    <mergeCell ref="B21:B22"/>
    <mergeCell ref="C21:C22"/>
    <mergeCell ref="B31:B32"/>
    <mergeCell ref="C31:C32"/>
    <mergeCell ref="B33:B34"/>
    <mergeCell ref="C33:C34"/>
    <mergeCell ref="AN3:AS4"/>
    <mergeCell ref="AK6:AK7"/>
    <mergeCell ref="AL6:AL7"/>
    <mergeCell ref="AK8:AK9"/>
    <mergeCell ref="AL8:AL9"/>
    <mergeCell ref="B11:B12"/>
    <mergeCell ref="C11:C12"/>
    <mergeCell ref="E4:J5"/>
    <mergeCell ref="B7:B8"/>
    <mergeCell ref="C7:C8"/>
    <mergeCell ref="B9:B10"/>
    <mergeCell ref="C9:C10"/>
    <mergeCell ref="U4:Z5"/>
    <mergeCell ref="R7:R8"/>
    <mergeCell ref="S7:S8"/>
    <mergeCell ref="R9:R10"/>
    <mergeCell ref="S9:S10"/>
    <mergeCell ref="S11:S12"/>
    <mergeCell ref="AK16:AK17"/>
    <mergeCell ref="AL16:AL17"/>
    <mergeCell ref="AK18:AK19"/>
    <mergeCell ref="AL18:AL19"/>
    <mergeCell ref="AK20:AK21"/>
    <mergeCell ref="AL20:AL21"/>
    <mergeCell ref="AK10:AK11"/>
    <mergeCell ref="AL10:AL11"/>
    <mergeCell ref="AK12:AK13"/>
    <mergeCell ref="AL12:AL13"/>
    <mergeCell ref="AK14:AK15"/>
    <mergeCell ref="AL14:AL15"/>
    <mergeCell ref="AK28:AK29"/>
    <mergeCell ref="AL28:AL29"/>
    <mergeCell ref="AK30:AK31"/>
    <mergeCell ref="AL30:AL31"/>
    <mergeCell ref="AK32:AK33"/>
    <mergeCell ref="AL32:AL33"/>
    <mergeCell ref="AK22:AK23"/>
    <mergeCell ref="AL22:AL23"/>
    <mergeCell ref="AK24:AK25"/>
    <mergeCell ref="AL24:AL25"/>
    <mergeCell ref="AK26:AK27"/>
    <mergeCell ref="AL26:AL27"/>
    <mergeCell ref="AK40:AK41"/>
    <mergeCell ref="AL40:AL41"/>
    <mergeCell ref="AK42:AK43"/>
    <mergeCell ref="AL42:AL43"/>
    <mergeCell ref="AK44:AK45"/>
    <mergeCell ref="AL44:AL45"/>
    <mergeCell ref="AK34:AK35"/>
    <mergeCell ref="AL34:AL35"/>
    <mergeCell ref="AK36:AK37"/>
    <mergeCell ref="AL36:AL37"/>
    <mergeCell ref="AK38:AK39"/>
    <mergeCell ref="AL38:AL39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FCCE3-D54F-4B9E-B573-4906EEAEB8C1}">
  <dimension ref="B2:W129"/>
  <sheetViews>
    <sheetView rightToLeft="1" topLeftCell="K40" workbookViewId="0">
      <selection activeCell="R42" sqref="R42:R43"/>
    </sheetView>
  </sheetViews>
  <sheetFormatPr defaultColWidth="11.42578125" defaultRowHeight="15" x14ac:dyDescent="0.25"/>
  <cols>
    <col min="2" max="2" width="18.7109375" customWidth="1"/>
    <col min="3" max="3" width="13.5703125" customWidth="1"/>
    <col min="4" max="4" width="19.85546875" customWidth="1"/>
    <col min="5" max="5" width="20.5703125" bestFit="1" customWidth="1"/>
    <col min="6" max="6" width="18.7109375" bestFit="1" customWidth="1"/>
    <col min="7" max="7" width="22.85546875" customWidth="1"/>
    <col min="8" max="8" width="21.42578125" customWidth="1"/>
    <col min="9" max="10" width="20.42578125" customWidth="1"/>
    <col min="11" max="11" width="23.140625" bestFit="1" customWidth="1"/>
    <col min="12" max="12" width="23.140625" customWidth="1"/>
    <col min="13" max="13" width="23.140625" bestFit="1" customWidth="1"/>
    <col min="14" max="14" width="15" bestFit="1" customWidth="1"/>
    <col min="16" max="16" width="22.85546875" customWidth="1"/>
    <col min="17" max="17" width="16.28515625" customWidth="1"/>
    <col min="18" max="18" width="22.42578125" customWidth="1"/>
    <col min="19" max="19" width="29.85546875" customWidth="1"/>
    <col min="20" max="20" width="19.28515625" customWidth="1"/>
    <col min="21" max="22" width="18" bestFit="1" customWidth="1"/>
    <col min="23" max="23" width="16" customWidth="1"/>
  </cols>
  <sheetData>
    <row r="2" spans="2:22" ht="36.75" customHeight="1" x14ac:dyDescent="0.25">
      <c r="B2" s="298" t="s">
        <v>343</v>
      </c>
      <c r="C2" s="299"/>
      <c r="D2" s="299"/>
      <c r="E2" s="299"/>
      <c r="F2" s="300"/>
      <c r="H2" s="307" t="s">
        <v>344</v>
      </c>
      <c r="I2" s="293"/>
      <c r="J2" s="293"/>
      <c r="K2" s="293"/>
      <c r="L2" s="293"/>
      <c r="M2" s="293"/>
      <c r="R2" s="298" t="s">
        <v>1117</v>
      </c>
      <c r="S2" s="299"/>
      <c r="T2" s="299"/>
      <c r="U2" s="299"/>
      <c r="V2" s="300"/>
    </row>
    <row r="3" spans="2:22" ht="27" customHeight="1" x14ac:dyDescent="0.25">
      <c r="B3" s="17" t="s">
        <v>144</v>
      </c>
      <c r="C3" s="17" t="s">
        <v>275</v>
      </c>
      <c r="D3" s="17" t="s">
        <v>145</v>
      </c>
      <c r="E3" s="17" t="s">
        <v>146</v>
      </c>
      <c r="F3" s="17" t="s">
        <v>147</v>
      </c>
      <c r="H3" s="17" t="s">
        <v>144</v>
      </c>
      <c r="I3" s="17" t="s">
        <v>275</v>
      </c>
      <c r="J3" s="17" t="s">
        <v>145</v>
      </c>
      <c r="K3" s="17" t="s">
        <v>146</v>
      </c>
      <c r="L3" s="17" t="s">
        <v>147</v>
      </c>
      <c r="M3" s="17"/>
      <c r="R3" s="17" t="s">
        <v>144</v>
      </c>
      <c r="S3" s="17" t="s">
        <v>275</v>
      </c>
      <c r="T3" s="17" t="s">
        <v>145</v>
      </c>
      <c r="U3" s="17" t="s">
        <v>146</v>
      </c>
      <c r="V3" s="17" t="s">
        <v>147</v>
      </c>
    </row>
    <row r="4" spans="2:22" ht="30" customHeight="1" x14ac:dyDescent="0.25">
      <c r="B4" s="150" t="s">
        <v>281</v>
      </c>
      <c r="C4" s="150" t="s">
        <v>282</v>
      </c>
      <c r="D4" s="34"/>
      <c r="E4" s="29">
        <v>500</v>
      </c>
      <c r="F4" s="31">
        <v>2000</v>
      </c>
      <c r="H4" s="150" t="s">
        <v>284</v>
      </c>
      <c r="I4" s="150" t="s">
        <v>338</v>
      </c>
      <c r="J4" s="34"/>
      <c r="K4" s="4">
        <v>500</v>
      </c>
      <c r="L4" s="4">
        <v>2000</v>
      </c>
      <c r="M4" s="4"/>
      <c r="R4" s="150" t="s">
        <v>274</v>
      </c>
      <c r="S4" s="150" t="s">
        <v>276</v>
      </c>
      <c r="T4" s="34"/>
      <c r="U4" s="4">
        <v>500</v>
      </c>
      <c r="V4" s="4">
        <v>2000</v>
      </c>
    </row>
    <row r="5" spans="2:22" ht="24" customHeight="1" x14ac:dyDescent="0.25">
      <c r="B5" s="151"/>
      <c r="C5" s="151"/>
      <c r="D5" s="35"/>
      <c r="E5" s="30" t="s">
        <v>283</v>
      </c>
      <c r="F5" s="32" t="s">
        <v>283</v>
      </c>
      <c r="H5" s="151"/>
      <c r="I5" s="151"/>
      <c r="J5" s="35"/>
      <c r="K5" s="33" t="s">
        <v>285</v>
      </c>
      <c r="L5" s="33" t="s">
        <v>285</v>
      </c>
      <c r="M5" s="33"/>
      <c r="R5" s="151"/>
      <c r="S5" s="151"/>
      <c r="T5" s="36"/>
      <c r="U5" s="6" t="s">
        <v>277</v>
      </c>
      <c r="V5" s="6" t="s">
        <v>277</v>
      </c>
    </row>
    <row r="6" spans="2:22" ht="18.75" x14ac:dyDescent="0.25">
      <c r="B6" s="150" t="s">
        <v>288</v>
      </c>
      <c r="C6" s="150" t="s">
        <v>341</v>
      </c>
      <c r="D6" s="34"/>
      <c r="E6" s="29">
        <v>500</v>
      </c>
      <c r="F6" s="31">
        <v>2000</v>
      </c>
      <c r="H6" s="150" t="s">
        <v>286</v>
      </c>
      <c r="I6" s="150" t="s">
        <v>339</v>
      </c>
      <c r="J6" s="34"/>
      <c r="K6" s="4">
        <v>500</v>
      </c>
      <c r="L6" s="4">
        <v>2000</v>
      </c>
      <c r="M6" s="4"/>
      <c r="R6" s="150" t="s">
        <v>278</v>
      </c>
      <c r="S6" s="150" t="s">
        <v>279</v>
      </c>
      <c r="T6" s="34"/>
      <c r="U6" s="4">
        <v>500</v>
      </c>
      <c r="V6" s="4">
        <v>2000</v>
      </c>
    </row>
    <row r="7" spans="2:22" ht="15.75" x14ac:dyDescent="0.25">
      <c r="B7" s="151"/>
      <c r="C7" s="151"/>
      <c r="D7" s="35"/>
      <c r="E7" s="30" t="s">
        <v>289</v>
      </c>
      <c r="F7" s="32" t="s">
        <v>289</v>
      </c>
      <c r="H7" s="151"/>
      <c r="I7" s="151"/>
      <c r="J7" s="35"/>
      <c r="K7" s="33" t="s">
        <v>287</v>
      </c>
      <c r="L7" s="33" t="s">
        <v>287</v>
      </c>
      <c r="M7" s="33"/>
      <c r="R7" s="151"/>
      <c r="S7" s="151"/>
      <c r="T7" s="35"/>
      <c r="U7" s="5" t="s">
        <v>280</v>
      </c>
      <c r="V7" s="5" t="s">
        <v>280</v>
      </c>
    </row>
    <row r="8" spans="2:22" ht="18.75" x14ac:dyDescent="0.25">
      <c r="B8" s="150" t="s">
        <v>292</v>
      </c>
      <c r="C8" s="150" t="s">
        <v>293</v>
      </c>
      <c r="D8" s="34"/>
      <c r="E8" s="29">
        <v>500</v>
      </c>
      <c r="F8" s="31">
        <v>2000</v>
      </c>
      <c r="H8" s="150" t="s">
        <v>290</v>
      </c>
      <c r="I8" s="150" t="s">
        <v>340</v>
      </c>
      <c r="J8" s="34"/>
      <c r="K8" s="4">
        <v>500</v>
      </c>
      <c r="L8" s="4">
        <v>2000</v>
      </c>
      <c r="M8" s="4"/>
      <c r="R8" s="150" t="s">
        <v>320</v>
      </c>
      <c r="S8" s="150" t="s">
        <v>346</v>
      </c>
      <c r="T8" s="34"/>
      <c r="U8" s="4">
        <v>500</v>
      </c>
      <c r="V8" s="4">
        <v>2000</v>
      </c>
    </row>
    <row r="9" spans="2:22" ht="15.75" x14ac:dyDescent="0.25">
      <c r="B9" s="151"/>
      <c r="C9" s="151"/>
      <c r="D9" s="35"/>
      <c r="E9" s="30" t="s">
        <v>294</v>
      </c>
      <c r="F9" s="32" t="s">
        <v>294</v>
      </c>
      <c r="H9" s="151"/>
      <c r="I9" s="151"/>
      <c r="J9" s="35"/>
      <c r="K9" s="33" t="s">
        <v>291</v>
      </c>
      <c r="L9" s="33" t="s">
        <v>291</v>
      </c>
      <c r="M9" s="33"/>
      <c r="R9" s="151"/>
      <c r="S9" s="151"/>
      <c r="T9" s="35"/>
      <c r="U9" s="5" t="s">
        <v>321</v>
      </c>
      <c r="V9" s="5" t="s">
        <v>321</v>
      </c>
    </row>
    <row r="10" spans="2:22" ht="18.75" x14ac:dyDescent="0.25">
      <c r="B10" s="150" t="s">
        <v>298</v>
      </c>
      <c r="C10" s="150" t="s">
        <v>299</v>
      </c>
      <c r="D10" s="34"/>
      <c r="E10" s="29">
        <v>500</v>
      </c>
      <c r="F10" s="31">
        <v>2000</v>
      </c>
      <c r="H10" s="150" t="s">
        <v>295</v>
      </c>
      <c r="I10" s="150" t="s">
        <v>296</v>
      </c>
      <c r="J10" s="34"/>
      <c r="K10" s="4">
        <v>500</v>
      </c>
      <c r="L10" s="4">
        <v>2000</v>
      </c>
      <c r="M10" s="4"/>
      <c r="R10" s="150" t="s">
        <v>322</v>
      </c>
      <c r="S10" s="150" t="s">
        <v>323</v>
      </c>
      <c r="T10" s="34"/>
      <c r="U10" s="4">
        <v>500</v>
      </c>
      <c r="V10" s="4">
        <v>2000</v>
      </c>
    </row>
    <row r="11" spans="2:22" ht="15.75" x14ac:dyDescent="0.25">
      <c r="B11" s="151"/>
      <c r="C11" s="151"/>
      <c r="D11" s="36"/>
      <c r="E11" s="30" t="s">
        <v>300</v>
      </c>
      <c r="F11" s="32" t="s">
        <v>300</v>
      </c>
      <c r="H11" s="151"/>
      <c r="I11" s="151"/>
      <c r="J11" s="36"/>
      <c r="K11" s="33" t="s">
        <v>297</v>
      </c>
      <c r="L11" s="33" t="s">
        <v>297</v>
      </c>
      <c r="M11" s="33"/>
      <c r="R11" s="151"/>
      <c r="S11" s="151"/>
      <c r="T11" s="36"/>
      <c r="U11" s="5" t="s">
        <v>324</v>
      </c>
      <c r="V11" s="5" t="s">
        <v>324</v>
      </c>
    </row>
    <row r="12" spans="2:22" ht="18.75" x14ac:dyDescent="0.25">
      <c r="B12" s="150" t="s">
        <v>308</v>
      </c>
      <c r="C12" s="150" t="s">
        <v>306</v>
      </c>
      <c r="D12" s="34"/>
      <c r="E12" s="29">
        <v>500</v>
      </c>
      <c r="F12" s="31">
        <v>2000</v>
      </c>
      <c r="H12" s="150" t="s">
        <v>301</v>
      </c>
      <c r="I12" s="150" t="s">
        <v>342</v>
      </c>
      <c r="J12" s="34"/>
      <c r="K12" s="4">
        <v>500</v>
      </c>
      <c r="L12" s="4">
        <v>2000</v>
      </c>
      <c r="M12" s="4"/>
      <c r="R12" s="150" t="s">
        <v>325</v>
      </c>
      <c r="S12" s="150" t="s">
        <v>326</v>
      </c>
      <c r="T12" s="34"/>
      <c r="U12" s="4">
        <v>500</v>
      </c>
      <c r="V12" s="4">
        <v>2000</v>
      </c>
    </row>
    <row r="13" spans="2:22" ht="15.75" x14ac:dyDescent="0.25">
      <c r="B13" s="151"/>
      <c r="C13" s="151"/>
      <c r="D13" s="36"/>
      <c r="E13" s="30" t="s">
        <v>309</v>
      </c>
      <c r="F13" s="32" t="s">
        <v>309</v>
      </c>
      <c r="H13" s="151"/>
      <c r="I13" s="151"/>
      <c r="J13" s="36"/>
      <c r="K13" s="33" t="s">
        <v>302</v>
      </c>
      <c r="L13" s="33" t="s">
        <v>302</v>
      </c>
      <c r="M13" s="33"/>
      <c r="R13" s="151"/>
      <c r="S13" s="151"/>
      <c r="T13" s="36"/>
      <c r="U13" s="5" t="s">
        <v>327</v>
      </c>
      <c r="V13" s="5" t="s">
        <v>327</v>
      </c>
    </row>
    <row r="14" spans="2:22" ht="18.75" x14ac:dyDescent="0.25">
      <c r="B14" s="150" t="s">
        <v>310</v>
      </c>
      <c r="C14" s="150" t="s">
        <v>311</v>
      </c>
      <c r="D14" s="34"/>
      <c r="E14" s="29">
        <v>500</v>
      </c>
      <c r="F14" s="31">
        <v>2000</v>
      </c>
      <c r="H14" s="150" t="s">
        <v>303</v>
      </c>
      <c r="I14" s="150" t="s">
        <v>187</v>
      </c>
      <c r="J14" s="34"/>
      <c r="K14" s="4">
        <v>500</v>
      </c>
      <c r="L14" s="4">
        <v>2000</v>
      </c>
      <c r="M14" s="4"/>
      <c r="R14" s="150" t="s">
        <v>328</v>
      </c>
      <c r="S14" s="150" t="s">
        <v>329</v>
      </c>
      <c r="T14" s="34"/>
      <c r="U14" s="4">
        <v>500</v>
      </c>
      <c r="V14" s="4">
        <v>2000</v>
      </c>
    </row>
    <row r="15" spans="2:22" ht="15.75" x14ac:dyDescent="0.25">
      <c r="B15" s="151"/>
      <c r="C15" s="151"/>
      <c r="D15" s="35"/>
      <c r="E15" s="30" t="s">
        <v>248</v>
      </c>
      <c r="F15" s="32" t="s">
        <v>248</v>
      </c>
      <c r="H15" s="151"/>
      <c r="I15" s="151"/>
      <c r="J15" s="35"/>
      <c r="K15" s="33" t="s">
        <v>304</v>
      </c>
      <c r="L15" s="33" t="s">
        <v>304</v>
      </c>
      <c r="M15" s="33"/>
      <c r="R15" s="151"/>
      <c r="S15" s="151"/>
      <c r="T15" s="35"/>
      <c r="U15" s="5" t="s">
        <v>330</v>
      </c>
      <c r="V15" s="5" t="s">
        <v>330</v>
      </c>
    </row>
    <row r="16" spans="2:22" ht="18.75" x14ac:dyDescent="0.25">
      <c r="B16" s="150" t="s">
        <v>318</v>
      </c>
      <c r="C16" s="150" t="s">
        <v>345</v>
      </c>
      <c r="D16" s="34"/>
      <c r="E16" s="29">
        <v>500</v>
      </c>
      <c r="F16" s="31">
        <v>2000</v>
      </c>
      <c r="H16" s="150" t="s">
        <v>305</v>
      </c>
      <c r="I16" s="150" t="s">
        <v>306</v>
      </c>
      <c r="J16" s="34"/>
      <c r="K16" s="4">
        <v>500</v>
      </c>
      <c r="L16" s="4">
        <v>2000</v>
      </c>
      <c r="M16" s="4"/>
      <c r="R16" s="150" t="s">
        <v>331</v>
      </c>
      <c r="S16" s="150" t="s">
        <v>347</v>
      </c>
      <c r="T16" s="34"/>
      <c r="U16" s="4">
        <v>500</v>
      </c>
      <c r="V16" s="4">
        <v>2000</v>
      </c>
    </row>
    <row r="17" spans="2:23" ht="15.75" x14ac:dyDescent="0.25">
      <c r="B17" s="151"/>
      <c r="C17" s="151"/>
      <c r="D17" s="35"/>
      <c r="E17" s="30" t="s">
        <v>319</v>
      </c>
      <c r="F17" s="32" t="s">
        <v>319</v>
      </c>
      <c r="H17" s="151"/>
      <c r="I17" s="151"/>
      <c r="J17" s="35"/>
      <c r="K17" s="33" t="s">
        <v>307</v>
      </c>
      <c r="L17" s="33" t="s">
        <v>307</v>
      </c>
      <c r="M17" s="33"/>
      <c r="R17" s="151"/>
      <c r="S17" s="151"/>
      <c r="T17" s="35"/>
      <c r="U17" s="5" t="s">
        <v>332</v>
      </c>
      <c r="V17" s="5" t="s">
        <v>332</v>
      </c>
    </row>
    <row r="18" spans="2:23" ht="18.75" x14ac:dyDescent="0.25">
      <c r="B18" s="150"/>
      <c r="C18" s="150"/>
      <c r="D18" s="4"/>
      <c r="E18" s="4"/>
      <c r="F18" s="31"/>
      <c r="H18" s="150" t="s">
        <v>312</v>
      </c>
      <c r="I18" s="150" t="s">
        <v>313</v>
      </c>
      <c r="J18" s="34"/>
      <c r="K18" s="4">
        <v>500</v>
      </c>
      <c r="L18" s="4">
        <v>2000</v>
      </c>
      <c r="M18" s="4"/>
      <c r="R18" s="150" t="s">
        <v>333</v>
      </c>
      <c r="S18" s="150" t="s">
        <v>348</v>
      </c>
      <c r="T18" s="34"/>
      <c r="U18" s="4">
        <v>500</v>
      </c>
      <c r="V18" s="4">
        <v>2000</v>
      </c>
    </row>
    <row r="19" spans="2:23" ht="18" customHeight="1" x14ac:dyDescent="0.25">
      <c r="B19" s="151"/>
      <c r="C19" s="151"/>
      <c r="D19" s="5"/>
      <c r="E19" s="5"/>
      <c r="F19" s="5"/>
      <c r="H19" s="151"/>
      <c r="I19" s="151"/>
      <c r="J19" s="35"/>
      <c r="K19" s="33" t="s">
        <v>314</v>
      </c>
      <c r="L19" s="33" t="s">
        <v>314</v>
      </c>
      <c r="M19" s="33"/>
      <c r="R19" s="151"/>
      <c r="S19" s="151"/>
      <c r="T19" s="35"/>
      <c r="U19" s="5" t="s">
        <v>335</v>
      </c>
      <c r="V19" s="5" t="s">
        <v>335</v>
      </c>
    </row>
    <row r="20" spans="2:23" ht="23.25" customHeight="1" x14ac:dyDescent="0.25">
      <c r="B20" s="150"/>
      <c r="C20" s="150"/>
      <c r="D20" s="4"/>
      <c r="E20" s="4"/>
      <c r="F20" s="4"/>
      <c r="H20" s="150" t="s">
        <v>315</v>
      </c>
      <c r="I20" s="150" t="s">
        <v>316</v>
      </c>
      <c r="J20" s="34"/>
      <c r="K20" s="4">
        <v>500</v>
      </c>
      <c r="L20" s="4">
        <v>2000</v>
      </c>
      <c r="M20" s="4"/>
      <c r="R20" s="150" t="s">
        <v>334</v>
      </c>
      <c r="S20" s="150" t="s">
        <v>348</v>
      </c>
      <c r="T20" s="34"/>
      <c r="U20" s="4">
        <v>500</v>
      </c>
      <c r="V20" s="4">
        <v>2000</v>
      </c>
    </row>
    <row r="21" spans="2:23" x14ac:dyDescent="0.25">
      <c r="B21" s="151"/>
      <c r="C21" s="151"/>
      <c r="D21" s="5"/>
      <c r="E21" s="5"/>
      <c r="F21" s="5"/>
      <c r="H21" s="151"/>
      <c r="I21" s="151"/>
      <c r="J21" s="35"/>
      <c r="K21" s="33" t="s">
        <v>317</v>
      </c>
      <c r="L21" s="33" t="s">
        <v>317</v>
      </c>
      <c r="M21" s="33"/>
      <c r="R21" s="151"/>
      <c r="S21" s="151"/>
      <c r="T21" s="35"/>
      <c r="U21" s="5" t="s">
        <v>335</v>
      </c>
      <c r="V21" s="5" t="s">
        <v>335</v>
      </c>
    </row>
    <row r="22" spans="2:23" ht="18.75" x14ac:dyDescent="0.25">
      <c r="B22" s="150"/>
      <c r="C22" s="150"/>
      <c r="D22" s="4"/>
      <c r="E22" s="4"/>
      <c r="F22" s="4"/>
      <c r="H22" s="150" t="s">
        <v>350</v>
      </c>
      <c r="I22" s="150" t="s">
        <v>351</v>
      </c>
      <c r="J22" s="35"/>
      <c r="K22" s="4">
        <v>500</v>
      </c>
      <c r="L22" s="4">
        <v>2000</v>
      </c>
      <c r="M22" s="4"/>
      <c r="R22" s="150" t="s">
        <v>336</v>
      </c>
      <c r="S22" s="150" t="s">
        <v>349</v>
      </c>
      <c r="T22" s="34"/>
      <c r="U22" s="4">
        <v>500</v>
      </c>
      <c r="V22" s="4">
        <v>2000</v>
      </c>
    </row>
    <row r="23" spans="2:23" x14ac:dyDescent="0.25">
      <c r="B23" s="151"/>
      <c r="C23" s="151"/>
      <c r="D23" s="5"/>
      <c r="E23" s="5"/>
      <c r="F23" s="5"/>
      <c r="H23" s="151"/>
      <c r="I23" s="151"/>
      <c r="J23" s="35"/>
      <c r="K23" s="33" t="s">
        <v>352</v>
      </c>
      <c r="L23" s="33" t="s">
        <v>352</v>
      </c>
      <c r="M23" s="33"/>
      <c r="R23" s="151"/>
      <c r="S23" s="151"/>
      <c r="T23" s="35"/>
      <c r="U23" s="5" t="s">
        <v>337</v>
      </c>
      <c r="V23" s="5" t="s">
        <v>337</v>
      </c>
    </row>
    <row r="24" spans="2:23" ht="23.25" customHeight="1" x14ac:dyDescent="0.25">
      <c r="B24" s="150"/>
      <c r="C24" s="150"/>
      <c r="D24" s="4"/>
      <c r="E24" s="4"/>
      <c r="F24" s="4"/>
      <c r="H24" s="150"/>
      <c r="I24" s="150"/>
      <c r="J24" s="35"/>
      <c r="K24" s="3"/>
      <c r="L24" s="3"/>
      <c r="M24" s="4"/>
      <c r="R24" s="301" t="s">
        <v>1116</v>
      </c>
      <c r="S24" s="302"/>
      <c r="T24" s="302"/>
      <c r="U24" s="302"/>
      <c r="V24" s="303"/>
    </row>
    <row r="25" spans="2:23" ht="23.25" customHeight="1" x14ac:dyDescent="0.25">
      <c r="B25" s="151"/>
      <c r="C25" s="151"/>
      <c r="D25" s="5"/>
      <c r="E25" s="5"/>
      <c r="F25" s="5"/>
      <c r="H25" s="151"/>
      <c r="I25" s="151"/>
      <c r="J25" s="35"/>
      <c r="K25" s="3"/>
      <c r="L25" s="3"/>
      <c r="M25" s="5"/>
      <c r="R25" s="304"/>
      <c r="S25" s="305"/>
      <c r="T25" s="305"/>
      <c r="U25" s="305"/>
      <c r="V25" s="306"/>
    </row>
    <row r="26" spans="2:23" ht="18.75" x14ac:dyDescent="0.25">
      <c r="B26" s="150"/>
      <c r="C26" s="150"/>
      <c r="D26" s="4"/>
      <c r="E26" s="4"/>
      <c r="F26" s="4"/>
      <c r="H26" s="150"/>
      <c r="I26" s="150"/>
      <c r="J26" s="35"/>
      <c r="K26" s="4"/>
      <c r="L26" s="4"/>
      <c r="M26" s="4"/>
      <c r="R26" s="150" t="s">
        <v>1120</v>
      </c>
      <c r="S26" s="150" t="s">
        <v>1119</v>
      </c>
      <c r="T26" s="31">
        <v>300</v>
      </c>
      <c r="U26" s="31">
        <v>500</v>
      </c>
      <c r="V26" s="31">
        <v>4000</v>
      </c>
    </row>
    <row r="27" spans="2:23" x14ac:dyDescent="0.25">
      <c r="B27" s="151"/>
      <c r="C27" s="151"/>
      <c r="D27" s="6"/>
      <c r="E27" s="5"/>
      <c r="F27" s="5"/>
      <c r="H27" s="151"/>
      <c r="I27" s="151"/>
      <c r="J27" s="35"/>
      <c r="K27" s="5"/>
      <c r="L27" s="5"/>
      <c r="M27" s="5"/>
      <c r="R27" s="151"/>
      <c r="S27" s="151"/>
      <c r="T27" s="32" t="s">
        <v>1118</v>
      </c>
      <c r="U27" s="32" t="s">
        <v>1118</v>
      </c>
      <c r="V27" s="32" t="s">
        <v>1118</v>
      </c>
    </row>
    <row r="28" spans="2:23" ht="18.75" x14ac:dyDescent="0.25">
      <c r="B28" s="150"/>
      <c r="C28" s="150"/>
      <c r="D28" s="4"/>
      <c r="E28" s="4"/>
      <c r="F28" s="4"/>
      <c r="H28" s="150"/>
      <c r="I28" s="150"/>
      <c r="J28" s="35"/>
      <c r="K28" s="4"/>
      <c r="L28" s="4"/>
      <c r="M28" s="4"/>
      <c r="R28" s="150" t="s">
        <v>949</v>
      </c>
      <c r="S28" s="150"/>
      <c r="T28" s="31">
        <v>300</v>
      </c>
      <c r="U28" s="31">
        <v>500</v>
      </c>
      <c r="V28" s="31">
        <v>4000</v>
      </c>
      <c r="W28" s="4"/>
    </row>
    <row r="29" spans="2:23" ht="15" customHeight="1" x14ac:dyDescent="0.25">
      <c r="B29" s="151"/>
      <c r="C29" s="151"/>
      <c r="D29" s="6"/>
      <c r="E29" s="5"/>
      <c r="F29" s="5"/>
      <c r="H29" s="151"/>
      <c r="I29" s="151"/>
      <c r="J29" s="35"/>
      <c r="K29" s="5"/>
      <c r="L29" s="5"/>
      <c r="M29" s="5"/>
      <c r="R29" s="151"/>
      <c r="S29" s="151"/>
      <c r="T29" s="32" t="s">
        <v>950</v>
      </c>
      <c r="U29" s="32" t="s">
        <v>950</v>
      </c>
      <c r="V29" s="32" t="s">
        <v>950</v>
      </c>
      <c r="W29" s="33"/>
    </row>
    <row r="30" spans="2:23" ht="18.75" x14ac:dyDescent="0.25">
      <c r="B30" s="150"/>
      <c r="C30" s="150"/>
      <c r="D30" s="4"/>
      <c r="E30" s="4"/>
      <c r="F30" s="4"/>
      <c r="H30" s="150"/>
      <c r="I30" s="150"/>
      <c r="J30" s="35"/>
      <c r="K30" s="4"/>
      <c r="L30" s="4"/>
      <c r="M30" s="4"/>
      <c r="R30" s="150" t="s">
        <v>1121</v>
      </c>
      <c r="S30" s="150" t="s">
        <v>1122</v>
      </c>
      <c r="T30" s="31">
        <v>300</v>
      </c>
      <c r="U30" s="31">
        <v>500</v>
      </c>
      <c r="V30" s="31">
        <v>4000</v>
      </c>
    </row>
    <row r="31" spans="2:23" x14ac:dyDescent="0.25">
      <c r="B31" s="151"/>
      <c r="C31" s="151"/>
      <c r="D31" s="6"/>
      <c r="E31" s="5"/>
      <c r="F31" s="5"/>
      <c r="H31" s="151"/>
      <c r="I31" s="151"/>
      <c r="J31" s="35"/>
      <c r="K31" s="5"/>
      <c r="L31" s="5"/>
      <c r="M31" s="5"/>
      <c r="R31" s="151"/>
      <c r="S31" s="151"/>
      <c r="T31" s="32" t="s">
        <v>1123</v>
      </c>
      <c r="U31" s="32" t="s">
        <v>1123</v>
      </c>
      <c r="V31" s="32" t="s">
        <v>1123</v>
      </c>
    </row>
    <row r="32" spans="2:23" ht="18.75" x14ac:dyDescent="0.25">
      <c r="B32" s="150"/>
      <c r="C32" s="150"/>
      <c r="D32" s="4"/>
      <c r="E32" s="4"/>
      <c r="F32" s="4"/>
      <c r="H32" s="150"/>
      <c r="I32" s="150"/>
      <c r="J32" s="35"/>
      <c r="K32" s="4"/>
      <c r="L32" s="4"/>
      <c r="M32" s="4"/>
      <c r="R32" s="150" t="s">
        <v>1124</v>
      </c>
      <c r="S32" s="150" t="s">
        <v>1125</v>
      </c>
      <c r="T32" s="31">
        <v>300</v>
      </c>
      <c r="U32" s="31"/>
      <c r="V32" s="31" t="s">
        <v>1127</v>
      </c>
    </row>
    <row r="33" spans="2:22" x14ac:dyDescent="0.25">
      <c r="B33" s="151"/>
      <c r="C33" s="151"/>
      <c r="D33" s="6"/>
      <c r="E33" s="6"/>
      <c r="F33" s="6"/>
      <c r="H33" s="151"/>
      <c r="I33" s="151"/>
      <c r="J33" s="35"/>
      <c r="K33" s="6"/>
      <c r="L33" s="6"/>
      <c r="M33" s="6"/>
      <c r="R33" s="151"/>
      <c r="S33" s="151"/>
      <c r="T33" s="32" t="s">
        <v>1126</v>
      </c>
      <c r="U33" s="32"/>
      <c r="V33" s="32" t="s">
        <v>1126</v>
      </c>
    </row>
    <row r="34" spans="2:22" ht="18.75" x14ac:dyDescent="0.25">
      <c r="B34" s="150"/>
      <c r="C34" s="150"/>
      <c r="D34" s="4"/>
      <c r="E34" s="4"/>
      <c r="F34" s="4"/>
      <c r="H34" s="150"/>
      <c r="I34" s="150"/>
      <c r="J34" s="35"/>
      <c r="K34" s="4"/>
      <c r="L34" s="4"/>
      <c r="M34" s="4"/>
      <c r="R34" s="150" t="s">
        <v>1128</v>
      </c>
      <c r="S34" s="150" t="s">
        <v>1129</v>
      </c>
      <c r="T34" s="31">
        <v>300</v>
      </c>
      <c r="U34" s="31">
        <v>500</v>
      </c>
      <c r="V34" s="31">
        <v>4000</v>
      </c>
    </row>
    <row r="35" spans="2:22" x14ac:dyDescent="0.25">
      <c r="B35" s="151"/>
      <c r="C35" s="151"/>
      <c r="D35" s="6"/>
      <c r="E35" s="6"/>
      <c r="F35" s="6"/>
      <c r="H35" s="151"/>
      <c r="I35" s="151"/>
      <c r="J35" s="35"/>
      <c r="K35" s="6"/>
      <c r="L35" s="6"/>
      <c r="M35" s="6"/>
      <c r="R35" s="151"/>
      <c r="S35" s="151"/>
      <c r="T35" s="32" t="s">
        <v>1130</v>
      </c>
      <c r="U35" s="32" t="s">
        <v>1131</v>
      </c>
      <c r="V35" s="32" t="s">
        <v>1131</v>
      </c>
    </row>
    <row r="36" spans="2:22" ht="18.75" x14ac:dyDescent="0.25">
      <c r="B36" s="150"/>
      <c r="C36" s="150"/>
      <c r="D36" s="4"/>
      <c r="E36" s="4"/>
      <c r="F36" s="4"/>
      <c r="H36" s="150"/>
      <c r="I36" s="150"/>
      <c r="J36" s="4"/>
      <c r="K36" s="4"/>
      <c r="L36" s="4"/>
      <c r="M36" s="4"/>
      <c r="R36" s="150" t="s">
        <v>1274</v>
      </c>
      <c r="S36" s="150"/>
      <c r="T36" s="31"/>
      <c r="U36" s="31"/>
      <c r="V36" s="31">
        <v>2000</v>
      </c>
    </row>
    <row r="37" spans="2:22" x14ac:dyDescent="0.25">
      <c r="B37" s="151"/>
      <c r="C37" s="151"/>
      <c r="D37" s="6"/>
      <c r="E37" s="6"/>
      <c r="F37" s="6"/>
      <c r="H37" s="151"/>
      <c r="I37" s="151"/>
      <c r="J37" s="6"/>
      <c r="K37" s="6"/>
      <c r="L37" s="6"/>
      <c r="M37" s="6"/>
      <c r="R37" s="151"/>
      <c r="S37" s="151"/>
      <c r="T37" s="32"/>
      <c r="U37" s="32"/>
      <c r="V37" s="32" t="s">
        <v>1275</v>
      </c>
    </row>
    <row r="38" spans="2:22" ht="18.75" x14ac:dyDescent="0.25">
      <c r="B38" s="150"/>
      <c r="C38" s="150"/>
      <c r="D38" s="4"/>
      <c r="E38" s="4"/>
      <c r="F38" s="4"/>
      <c r="H38" s="150"/>
      <c r="I38" s="150"/>
      <c r="J38" s="4"/>
      <c r="K38" s="4"/>
      <c r="L38" s="4"/>
      <c r="M38" s="4"/>
      <c r="R38" s="150" t="s">
        <v>1276</v>
      </c>
      <c r="S38" s="150"/>
      <c r="T38" s="31"/>
      <c r="U38" s="31"/>
      <c r="V38" s="31">
        <v>2000</v>
      </c>
    </row>
    <row r="39" spans="2:22" x14ac:dyDescent="0.25">
      <c r="B39" s="151"/>
      <c r="C39" s="151"/>
      <c r="D39" s="6"/>
      <c r="E39" s="6"/>
      <c r="F39" s="6"/>
      <c r="H39" s="151"/>
      <c r="I39" s="151"/>
      <c r="J39" s="6"/>
      <c r="K39" s="6"/>
      <c r="L39" s="6"/>
      <c r="M39" s="6"/>
      <c r="R39" s="151"/>
      <c r="S39" s="151"/>
      <c r="T39" s="6"/>
      <c r="U39" s="6"/>
      <c r="V39" s="32" t="s">
        <v>1275</v>
      </c>
    </row>
    <row r="40" spans="2:22" x14ac:dyDescent="0.25">
      <c r="B40" s="210" t="s">
        <v>148</v>
      </c>
      <c r="C40" s="14"/>
      <c r="D40" s="210">
        <f>SUM(D4:D27)</f>
        <v>0</v>
      </c>
      <c r="E40" s="210">
        <f>SUM(E4+E6+E8+E10+E12+E14+E16)</f>
        <v>3500</v>
      </c>
      <c r="F40" s="210">
        <f>SUM(F4:F27)</f>
        <v>14000</v>
      </c>
      <c r="H40" s="210" t="s">
        <v>148</v>
      </c>
      <c r="I40" s="14"/>
      <c r="J40" s="210">
        <f>SUM(J4:J27)</f>
        <v>0</v>
      </c>
      <c r="K40" s="210">
        <f>SUM(K4+K6+K8+K10+K12+K14+K16+K18+K20+K22)</f>
        <v>5000</v>
      </c>
      <c r="L40" s="14"/>
      <c r="M40" s="210">
        <f>SUM(M4:M27)</f>
        <v>0</v>
      </c>
      <c r="R40" s="150" t="s">
        <v>1277</v>
      </c>
      <c r="S40" s="150" t="s">
        <v>1278</v>
      </c>
      <c r="T40" s="31">
        <v>300</v>
      </c>
      <c r="U40" s="31">
        <v>500</v>
      </c>
      <c r="V40" s="31">
        <v>4000</v>
      </c>
    </row>
    <row r="41" spans="2:22" x14ac:dyDescent="0.25">
      <c r="B41" s="211"/>
      <c r="C41" s="15"/>
      <c r="D41" s="211"/>
      <c r="E41" s="211"/>
      <c r="F41" s="211"/>
      <c r="H41" s="211"/>
      <c r="I41" s="15"/>
      <c r="J41" s="211"/>
      <c r="K41" s="211"/>
      <c r="L41" s="15"/>
      <c r="M41" s="211"/>
      <c r="R41" s="151"/>
      <c r="S41" s="151"/>
      <c r="T41" s="32" t="s">
        <v>1279</v>
      </c>
      <c r="U41" s="32" t="s">
        <v>1279</v>
      </c>
      <c r="V41" s="32" t="s">
        <v>1279</v>
      </c>
    </row>
    <row r="42" spans="2:22" x14ac:dyDescent="0.25">
      <c r="R42" s="150"/>
      <c r="S42" s="150"/>
      <c r="T42" s="31"/>
      <c r="U42" s="31"/>
      <c r="V42" s="31"/>
    </row>
    <row r="43" spans="2:22" x14ac:dyDescent="0.25">
      <c r="R43" s="151"/>
      <c r="S43" s="151"/>
      <c r="T43" s="6"/>
      <c r="U43" s="6"/>
      <c r="V43" s="32"/>
    </row>
    <row r="44" spans="2:22" ht="30" customHeight="1" x14ac:dyDescent="0.25">
      <c r="R44" s="150"/>
      <c r="S44" s="150"/>
      <c r="T44" s="31"/>
      <c r="U44" s="31"/>
      <c r="V44" s="31"/>
    </row>
    <row r="45" spans="2:22" ht="32.25" customHeight="1" x14ac:dyDescent="0.25">
      <c r="B45" s="298" t="s">
        <v>694</v>
      </c>
      <c r="C45" s="299"/>
      <c r="D45" s="299"/>
      <c r="E45" s="299"/>
      <c r="F45" s="300"/>
      <c r="H45" s="292" t="s">
        <v>693</v>
      </c>
      <c r="I45" s="292"/>
      <c r="J45" s="292"/>
      <c r="K45" s="292"/>
      <c r="L45" s="292"/>
      <c r="M45" s="292"/>
      <c r="R45" s="151"/>
      <c r="S45" s="151"/>
      <c r="T45" s="6"/>
      <c r="U45" s="6"/>
      <c r="V45" s="32"/>
    </row>
    <row r="46" spans="2:22" ht="30" customHeight="1" x14ac:dyDescent="0.25">
      <c r="B46" s="17" t="s">
        <v>144</v>
      </c>
      <c r="C46" s="17" t="s">
        <v>275</v>
      </c>
      <c r="D46" s="17" t="s">
        <v>145</v>
      </c>
      <c r="E46" s="17" t="s">
        <v>146</v>
      </c>
      <c r="F46" s="17" t="s">
        <v>147</v>
      </c>
      <c r="H46" s="293"/>
      <c r="I46" s="293"/>
      <c r="J46" s="293"/>
      <c r="K46" s="293"/>
      <c r="L46" s="293"/>
      <c r="M46" s="293"/>
    </row>
    <row r="47" spans="2:22" ht="27" customHeight="1" x14ac:dyDescent="0.25">
      <c r="B47" s="150" t="s">
        <v>281</v>
      </c>
      <c r="C47" s="150" t="s">
        <v>282</v>
      </c>
      <c r="D47" s="65"/>
      <c r="E47" s="29"/>
      <c r="F47" s="31"/>
      <c r="H47" s="17" t="s">
        <v>144</v>
      </c>
      <c r="I47" s="17" t="s">
        <v>275</v>
      </c>
      <c r="J47" s="17" t="s">
        <v>145</v>
      </c>
      <c r="K47" s="17" t="s">
        <v>146</v>
      </c>
      <c r="L47" s="17"/>
      <c r="M47" s="17" t="s">
        <v>147</v>
      </c>
      <c r="R47" s="292" t="s">
        <v>692</v>
      </c>
      <c r="S47" s="292"/>
      <c r="T47" s="292"/>
      <c r="U47" s="292"/>
      <c r="V47" s="292"/>
    </row>
    <row r="48" spans="2:22" ht="21" customHeight="1" x14ac:dyDescent="0.25">
      <c r="B48" s="151"/>
      <c r="C48" s="151"/>
      <c r="D48" s="5"/>
      <c r="E48" s="30"/>
      <c r="F48" s="32"/>
      <c r="H48" s="150" t="s">
        <v>284</v>
      </c>
      <c r="I48" s="150" t="s">
        <v>338</v>
      </c>
      <c r="J48" s="65"/>
      <c r="K48" s="4"/>
      <c r="L48" s="4"/>
      <c r="M48" s="4"/>
      <c r="R48" s="293"/>
      <c r="S48" s="293"/>
      <c r="T48" s="293"/>
      <c r="U48" s="293"/>
      <c r="V48" s="293"/>
    </row>
    <row r="49" spans="2:22" ht="18.75" x14ac:dyDescent="0.25">
      <c r="B49" s="150" t="s">
        <v>288</v>
      </c>
      <c r="C49" s="150" t="s">
        <v>341</v>
      </c>
      <c r="D49" s="65"/>
      <c r="E49" s="29"/>
      <c r="F49" s="31"/>
      <c r="H49" s="151"/>
      <c r="I49" s="151"/>
      <c r="J49" s="5"/>
      <c r="K49" s="33"/>
      <c r="L49" s="33"/>
      <c r="M49" s="33"/>
      <c r="R49" s="17" t="s">
        <v>144</v>
      </c>
      <c r="S49" s="17" t="s">
        <v>275</v>
      </c>
      <c r="T49" s="17" t="s">
        <v>145</v>
      </c>
      <c r="U49" s="17" t="s">
        <v>146</v>
      </c>
      <c r="V49" s="17" t="s">
        <v>147</v>
      </c>
    </row>
    <row r="50" spans="2:22" ht="18.75" x14ac:dyDescent="0.25">
      <c r="B50" s="151"/>
      <c r="C50" s="151"/>
      <c r="D50" s="5"/>
      <c r="E50" s="30"/>
      <c r="F50" s="32"/>
      <c r="H50" s="150" t="s">
        <v>286</v>
      </c>
      <c r="I50" s="150" t="s">
        <v>339</v>
      </c>
      <c r="J50" s="65"/>
      <c r="K50" s="4"/>
      <c r="L50" s="4"/>
      <c r="M50" s="4"/>
      <c r="R50" s="150" t="s">
        <v>274</v>
      </c>
      <c r="S50" s="150" t="s">
        <v>276</v>
      </c>
      <c r="T50" s="65"/>
      <c r="U50" s="4"/>
      <c r="V50" s="4"/>
    </row>
    <row r="51" spans="2:22" ht="18.75" x14ac:dyDescent="0.25">
      <c r="B51" s="150" t="s">
        <v>292</v>
      </c>
      <c r="C51" s="150" t="s">
        <v>293</v>
      </c>
      <c r="D51" s="65"/>
      <c r="E51" s="29"/>
      <c r="F51" s="31"/>
      <c r="H51" s="151"/>
      <c r="I51" s="151"/>
      <c r="J51" s="5"/>
      <c r="K51" s="33"/>
      <c r="L51" s="33"/>
      <c r="M51" s="33"/>
      <c r="R51" s="151"/>
      <c r="S51" s="151"/>
      <c r="T51" s="6"/>
      <c r="U51" s="6"/>
      <c r="V51" s="6"/>
    </row>
    <row r="52" spans="2:22" ht="18.75" x14ac:dyDescent="0.25">
      <c r="B52" s="151"/>
      <c r="C52" s="151"/>
      <c r="D52" s="5"/>
      <c r="E52" s="30"/>
      <c r="F52" s="32"/>
      <c r="H52" s="150" t="s">
        <v>290</v>
      </c>
      <c r="I52" s="150" t="s">
        <v>340</v>
      </c>
      <c r="J52" s="65"/>
      <c r="K52" s="4"/>
      <c r="L52" s="4"/>
      <c r="M52" s="4"/>
      <c r="R52" s="150" t="s">
        <v>278</v>
      </c>
      <c r="S52" s="150" t="s">
        <v>279</v>
      </c>
      <c r="T52" s="65"/>
      <c r="U52" s="4"/>
      <c r="V52" s="4"/>
    </row>
    <row r="53" spans="2:22" ht="18.75" x14ac:dyDescent="0.25">
      <c r="B53" s="150" t="s">
        <v>298</v>
      </c>
      <c r="C53" s="150" t="s">
        <v>299</v>
      </c>
      <c r="D53" s="65"/>
      <c r="E53" s="29"/>
      <c r="F53" s="31"/>
      <c r="H53" s="151"/>
      <c r="I53" s="151"/>
      <c r="J53" s="5"/>
      <c r="K53" s="33"/>
      <c r="L53" s="33"/>
      <c r="M53" s="33"/>
      <c r="R53" s="151"/>
      <c r="S53" s="151"/>
      <c r="T53" s="5"/>
      <c r="U53" s="5"/>
      <c r="V53" s="5"/>
    </row>
    <row r="54" spans="2:22" ht="18.75" x14ac:dyDescent="0.25">
      <c r="B54" s="151"/>
      <c r="C54" s="151"/>
      <c r="D54" s="6"/>
      <c r="E54" s="30"/>
      <c r="F54" s="32"/>
      <c r="H54" s="150" t="s">
        <v>295</v>
      </c>
      <c r="I54" s="150" t="s">
        <v>296</v>
      </c>
      <c r="J54" s="65"/>
      <c r="K54" s="4"/>
      <c r="L54" s="4"/>
      <c r="M54" s="4"/>
      <c r="R54" s="150" t="s">
        <v>320</v>
      </c>
      <c r="S54" s="150" t="s">
        <v>346</v>
      </c>
      <c r="T54" s="65"/>
      <c r="U54" s="4"/>
      <c r="V54" s="4"/>
    </row>
    <row r="55" spans="2:22" ht="18.75" x14ac:dyDescent="0.25">
      <c r="B55" s="150" t="s">
        <v>308</v>
      </c>
      <c r="C55" s="150" t="s">
        <v>306</v>
      </c>
      <c r="D55" s="65"/>
      <c r="E55" s="29"/>
      <c r="F55" s="31"/>
      <c r="H55" s="151"/>
      <c r="I55" s="151"/>
      <c r="J55" s="6"/>
      <c r="K55" s="33"/>
      <c r="L55" s="33"/>
      <c r="M55" s="33"/>
      <c r="R55" s="151"/>
      <c r="S55" s="151"/>
      <c r="T55" s="5"/>
      <c r="U55" s="5"/>
      <c r="V55" s="5"/>
    </row>
    <row r="56" spans="2:22" ht="18.75" x14ac:dyDescent="0.25">
      <c r="B56" s="151"/>
      <c r="C56" s="151"/>
      <c r="D56" s="6"/>
      <c r="E56" s="30"/>
      <c r="F56" s="32"/>
      <c r="H56" s="150" t="s">
        <v>301</v>
      </c>
      <c r="I56" s="150" t="s">
        <v>342</v>
      </c>
      <c r="J56" s="65"/>
      <c r="K56" s="4"/>
      <c r="L56" s="4"/>
      <c r="M56" s="4"/>
      <c r="R56" s="150" t="s">
        <v>322</v>
      </c>
      <c r="S56" s="150" t="s">
        <v>323</v>
      </c>
      <c r="T56" s="65">
        <v>300</v>
      </c>
      <c r="U56" s="4">
        <v>500</v>
      </c>
      <c r="V56" s="4">
        <v>4000</v>
      </c>
    </row>
    <row r="57" spans="2:22" ht="18.75" x14ac:dyDescent="0.25">
      <c r="B57" s="150" t="s">
        <v>310</v>
      </c>
      <c r="C57" s="150" t="s">
        <v>311</v>
      </c>
      <c r="D57" s="65"/>
      <c r="E57" s="29"/>
      <c r="F57" s="31"/>
      <c r="H57" s="151"/>
      <c r="I57" s="151"/>
      <c r="J57" s="6"/>
      <c r="K57" s="33"/>
      <c r="L57" s="33"/>
      <c r="M57" s="33"/>
      <c r="R57" s="151"/>
      <c r="S57" s="151"/>
      <c r="T57" s="6" t="s">
        <v>1251</v>
      </c>
      <c r="U57" s="6" t="s">
        <v>1251</v>
      </c>
      <c r="V57" s="6" t="s">
        <v>1251</v>
      </c>
    </row>
    <row r="58" spans="2:22" ht="18.75" x14ac:dyDescent="0.25">
      <c r="B58" s="151"/>
      <c r="C58" s="151"/>
      <c r="D58" s="5"/>
      <c r="E58" s="30"/>
      <c r="F58" s="32"/>
      <c r="H58" s="150" t="s">
        <v>303</v>
      </c>
      <c r="I58" s="150" t="s">
        <v>187</v>
      </c>
      <c r="J58" s="65"/>
      <c r="K58" s="4"/>
      <c r="L58" s="4"/>
      <c r="M58" s="4"/>
      <c r="R58" s="150" t="s">
        <v>325</v>
      </c>
      <c r="S58" s="150" t="s">
        <v>326</v>
      </c>
      <c r="T58" s="65"/>
      <c r="U58" s="4"/>
      <c r="V58" s="4"/>
    </row>
    <row r="59" spans="2:22" ht="18.75" x14ac:dyDescent="0.25">
      <c r="B59" s="150" t="s">
        <v>318</v>
      </c>
      <c r="C59" s="150" t="s">
        <v>345</v>
      </c>
      <c r="D59" s="65"/>
      <c r="E59" s="29"/>
      <c r="F59" s="31"/>
      <c r="H59" s="151"/>
      <c r="I59" s="151"/>
      <c r="J59" s="5"/>
      <c r="K59" s="33"/>
      <c r="L59" s="33"/>
      <c r="M59" s="33"/>
      <c r="R59" s="151"/>
      <c r="S59" s="151"/>
      <c r="T59" s="6"/>
      <c r="U59" s="5"/>
      <c r="V59" s="5"/>
    </row>
    <row r="60" spans="2:22" ht="18.75" x14ac:dyDescent="0.25">
      <c r="B60" s="151"/>
      <c r="C60" s="151"/>
      <c r="D60" s="5"/>
      <c r="E60" s="30"/>
      <c r="F60" s="32"/>
      <c r="H60" s="150" t="s">
        <v>305</v>
      </c>
      <c r="I60" s="150" t="s">
        <v>306</v>
      </c>
      <c r="J60" s="65"/>
      <c r="K60" s="4"/>
      <c r="L60" s="4"/>
      <c r="M60" s="4"/>
      <c r="R60" s="150" t="s">
        <v>328</v>
      </c>
      <c r="S60" s="150" t="s">
        <v>329</v>
      </c>
      <c r="T60" s="65"/>
      <c r="U60" s="4"/>
      <c r="V60" s="4"/>
    </row>
    <row r="61" spans="2:22" ht="18.75" x14ac:dyDescent="0.25">
      <c r="B61" s="150"/>
      <c r="C61" s="150"/>
      <c r="D61" s="4"/>
      <c r="E61" s="4"/>
      <c r="F61" s="31"/>
      <c r="H61" s="151"/>
      <c r="I61" s="151"/>
      <c r="J61" s="5"/>
      <c r="K61" s="33"/>
      <c r="L61" s="33"/>
      <c r="M61" s="33"/>
      <c r="R61" s="151"/>
      <c r="S61" s="151"/>
      <c r="T61" s="5"/>
      <c r="U61" s="5"/>
      <c r="V61" s="5"/>
    </row>
    <row r="62" spans="2:22" ht="18.75" x14ac:dyDescent="0.25">
      <c r="B62" s="151"/>
      <c r="C62" s="151"/>
      <c r="D62" s="5"/>
      <c r="E62" s="5"/>
      <c r="F62" s="5"/>
      <c r="H62" s="150" t="s">
        <v>312</v>
      </c>
      <c r="I62" s="150" t="s">
        <v>313</v>
      </c>
      <c r="J62" s="65"/>
      <c r="K62" s="4"/>
      <c r="L62" s="4"/>
      <c r="M62" s="4"/>
      <c r="R62" s="150" t="s">
        <v>331</v>
      </c>
      <c r="S62" s="150" t="s">
        <v>347</v>
      </c>
      <c r="T62" s="65"/>
      <c r="U62" s="4"/>
      <c r="V62" s="4"/>
    </row>
    <row r="63" spans="2:22" ht="18.75" x14ac:dyDescent="0.25">
      <c r="B63" s="150"/>
      <c r="C63" s="150"/>
      <c r="D63" s="4"/>
      <c r="E63" s="4"/>
      <c r="F63" s="4"/>
      <c r="H63" s="151"/>
      <c r="I63" s="151"/>
      <c r="J63" s="5"/>
      <c r="K63" s="33"/>
      <c r="L63" s="33"/>
      <c r="M63" s="33"/>
      <c r="R63" s="151"/>
      <c r="S63" s="151"/>
      <c r="T63" s="5"/>
      <c r="U63" s="5"/>
      <c r="V63" s="5"/>
    </row>
    <row r="64" spans="2:22" ht="18.75" x14ac:dyDescent="0.25">
      <c r="B64" s="151"/>
      <c r="C64" s="151"/>
      <c r="D64" s="5"/>
      <c r="E64" s="5"/>
      <c r="F64" s="5"/>
      <c r="H64" s="150" t="s">
        <v>315</v>
      </c>
      <c r="I64" s="150" t="s">
        <v>316</v>
      </c>
      <c r="J64" s="65"/>
      <c r="K64" s="4"/>
      <c r="L64" s="4"/>
      <c r="M64" s="4"/>
      <c r="R64" s="150" t="s">
        <v>333</v>
      </c>
      <c r="S64" s="150" t="s">
        <v>348</v>
      </c>
      <c r="T64" s="65"/>
      <c r="U64" s="4"/>
      <c r="V64" s="4"/>
    </row>
    <row r="65" spans="2:22" ht="18.75" x14ac:dyDescent="0.25">
      <c r="B65" s="150"/>
      <c r="C65" s="150"/>
      <c r="D65" s="4"/>
      <c r="E65" s="4"/>
      <c r="F65" s="4"/>
      <c r="H65" s="151"/>
      <c r="I65" s="151"/>
      <c r="J65" s="5"/>
      <c r="K65" s="33"/>
      <c r="L65" s="33"/>
      <c r="M65" s="33"/>
      <c r="R65" s="151"/>
      <c r="S65" s="151"/>
      <c r="T65" s="5"/>
      <c r="U65" s="5"/>
      <c r="V65" s="5"/>
    </row>
    <row r="66" spans="2:22" ht="18.75" x14ac:dyDescent="0.25">
      <c r="B66" s="151"/>
      <c r="C66" s="151"/>
      <c r="D66" s="5"/>
      <c r="E66" s="5"/>
      <c r="F66" s="5"/>
      <c r="H66" s="150" t="s">
        <v>350</v>
      </c>
      <c r="I66" s="150" t="s">
        <v>351</v>
      </c>
      <c r="J66" s="5"/>
      <c r="K66" s="4"/>
      <c r="L66" s="4"/>
      <c r="M66" s="4"/>
      <c r="R66" s="150" t="s">
        <v>334</v>
      </c>
      <c r="S66" s="150" t="s">
        <v>348</v>
      </c>
      <c r="T66" s="65"/>
      <c r="U66" s="4"/>
      <c r="V66" s="4"/>
    </row>
    <row r="67" spans="2:22" ht="18.75" x14ac:dyDescent="0.25">
      <c r="B67" s="150"/>
      <c r="C67" s="150"/>
      <c r="D67" s="4"/>
      <c r="E67" s="4"/>
      <c r="F67" s="4"/>
      <c r="H67" s="151"/>
      <c r="I67" s="151"/>
      <c r="J67" s="5"/>
      <c r="K67" s="33"/>
      <c r="L67" s="33"/>
      <c r="M67" s="33"/>
      <c r="R67" s="151"/>
      <c r="S67" s="151"/>
      <c r="T67" s="5"/>
      <c r="U67" s="5"/>
      <c r="V67" s="5"/>
    </row>
    <row r="68" spans="2:22" ht="18.75" x14ac:dyDescent="0.25">
      <c r="B68" s="151"/>
      <c r="C68" s="151"/>
      <c r="D68" s="5"/>
      <c r="E68" s="5"/>
      <c r="F68" s="5"/>
      <c r="H68" s="150"/>
      <c r="I68" s="150"/>
      <c r="J68" s="4"/>
      <c r="K68" s="4"/>
      <c r="L68" s="4"/>
      <c r="M68" s="4"/>
      <c r="R68" s="150" t="s">
        <v>336</v>
      </c>
      <c r="S68" s="150" t="s">
        <v>349</v>
      </c>
      <c r="T68" s="65"/>
      <c r="U68" s="4"/>
      <c r="V68" s="4"/>
    </row>
    <row r="69" spans="2:22" ht="18.75" x14ac:dyDescent="0.25">
      <c r="B69" s="150"/>
      <c r="C69" s="150"/>
      <c r="D69" s="4"/>
      <c r="E69" s="4"/>
      <c r="F69" s="4"/>
      <c r="H69" s="151"/>
      <c r="I69" s="151"/>
      <c r="J69" s="5"/>
      <c r="K69" s="5"/>
      <c r="L69" s="5"/>
      <c r="M69" s="5"/>
      <c r="R69" s="151"/>
      <c r="S69" s="151"/>
      <c r="T69" s="5"/>
      <c r="U69" s="5"/>
      <c r="V69" s="5"/>
    </row>
    <row r="70" spans="2:22" ht="18.75" x14ac:dyDescent="0.25">
      <c r="B70" s="151"/>
      <c r="C70" s="151"/>
      <c r="D70" s="6"/>
      <c r="E70" s="5"/>
      <c r="F70" s="5"/>
      <c r="H70" s="150"/>
      <c r="I70" s="150"/>
      <c r="J70" s="4"/>
      <c r="K70" s="4"/>
      <c r="L70" s="4"/>
      <c r="M70" s="4"/>
      <c r="R70" s="210" t="s">
        <v>148</v>
      </c>
      <c r="S70" s="14"/>
      <c r="T70" s="210">
        <f>SUM(T50:T69)</f>
        <v>300</v>
      </c>
      <c r="U70" s="210">
        <f>SUM(U50+U52+U54+U56+U58+U60+U62+U64+U66+U68)</f>
        <v>500</v>
      </c>
      <c r="V70" s="210">
        <f>SUM(V50:V69)</f>
        <v>4000</v>
      </c>
    </row>
    <row r="71" spans="2:22" ht="18.75" x14ac:dyDescent="0.25">
      <c r="B71" s="150"/>
      <c r="C71" s="150"/>
      <c r="D71" s="4"/>
      <c r="E71" s="4"/>
      <c r="F71" s="4"/>
      <c r="H71" s="151"/>
      <c r="I71" s="151"/>
      <c r="J71" s="6"/>
      <c r="K71" s="5"/>
      <c r="L71" s="5"/>
      <c r="M71" s="5"/>
      <c r="R71" s="211"/>
      <c r="S71" s="15"/>
      <c r="T71" s="211"/>
      <c r="U71" s="211"/>
      <c r="V71" s="211"/>
    </row>
    <row r="72" spans="2:22" ht="18.75" x14ac:dyDescent="0.25">
      <c r="B72" s="151"/>
      <c r="C72" s="151"/>
      <c r="D72" s="6"/>
      <c r="E72" s="5"/>
      <c r="F72" s="5"/>
      <c r="H72" s="150"/>
      <c r="I72" s="150"/>
      <c r="J72" s="4"/>
      <c r="K72" s="4"/>
      <c r="L72" s="4"/>
      <c r="M72" s="4"/>
    </row>
    <row r="73" spans="2:22" ht="18.75" x14ac:dyDescent="0.25">
      <c r="B73" s="150"/>
      <c r="C73" s="150"/>
      <c r="D73" s="4"/>
      <c r="E73" s="4"/>
      <c r="F73" s="4"/>
      <c r="H73" s="151"/>
      <c r="I73" s="151"/>
      <c r="J73" s="6"/>
      <c r="K73" s="5"/>
      <c r="L73" s="5"/>
      <c r="M73" s="5"/>
    </row>
    <row r="74" spans="2:22" ht="18.75" x14ac:dyDescent="0.25">
      <c r="B74" s="151"/>
      <c r="C74" s="151"/>
      <c r="D74" s="6"/>
      <c r="E74" s="5"/>
      <c r="F74" s="5"/>
      <c r="H74" s="150"/>
      <c r="I74" s="150"/>
      <c r="J74" s="4"/>
      <c r="K74" s="4"/>
      <c r="L74" s="4"/>
      <c r="M74" s="4"/>
    </row>
    <row r="75" spans="2:22" ht="18.75" x14ac:dyDescent="0.25">
      <c r="B75" s="150"/>
      <c r="C75" s="150"/>
      <c r="D75" s="4"/>
      <c r="E75" s="4"/>
      <c r="F75" s="4"/>
      <c r="H75" s="151"/>
      <c r="I75" s="151"/>
      <c r="J75" s="6"/>
      <c r="K75" s="5"/>
      <c r="L75" s="5"/>
      <c r="M75" s="5"/>
    </row>
    <row r="76" spans="2:22" ht="18.75" x14ac:dyDescent="0.25">
      <c r="B76" s="151"/>
      <c r="C76" s="151"/>
      <c r="D76" s="6"/>
      <c r="E76" s="6"/>
      <c r="F76" s="6"/>
      <c r="H76" s="150"/>
      <c r="I76" s="150"/>
      <c r="J76" s="4"/>
      <c r="K76" s="4"/>
      <c r="L76" s="4"/>
      <c r="M76" s="4"/>
    </row>
    <row r="77" spans="2:22" ht="18.75" customHeight="1" x14ac:dyDescent="0.25">
      <c r="B77" s="150"/>
      <c r="C77" s="150"/>
      <c r="D77" s="4"/>
      <c r="E77" s="4"/>
      <c r="F77" s="4"/>
      <c r="H77" s="151"/>
      <c r="I77" s="151"/>
      <c r="J77" s="6"/>
      <c r="K77" s="6"/>
      <c r="L77" s="6"/>
      <c r="M77" s="6"/>
      <c r="R77" s="292" t="s">
        <v>1132</v>
      </c>
      <c r="S77" s="292"/>
      <c r="T77" s="292"/>
      <c r="U77" s="292"/>
      <c r="V77" s="292"/>
    </row>
    <row r="78" spans="2:22" ht="18.75" customHeight="1" x14ac:dyDescent="0.25">
      <c r="B78" s="151"/>
      <c r="C78" s="151"/>
      <c r="D78" s="6"/>
      <c r="E78" s="6"/>
      <c r="F78" s="6"/>
      <c r="H78" s="150"/>
      <c r="I78" s="150"/>
      <c r="J78" s="4"/>
      <c r="K78" s="4"/>
      <c r="L78" s="4"/>
      <c r="M78" s="4"/>
      <c r="R78" s="293"/>
      <c r="S78" s="293"/>
      <c r="T78" s="293"/>
      <c r="U78" s="293"/>
      <c r="V78" s="293"/>
    </row>
    <row r="79" spans="2:22" ht="18.75" x14ac:dyDescent="0.25">
      <c r="B79" s="150"/>
      <c r="C79" s="150"/>
      <c r="D79" s="4"/>
      <c r="E79" s="4"/>
      <c r="F79" s="4"/>
      <c r="H79" s="151"/>
      <c r="I79" s="151"/>
      <c r="J79" s="6"/>
      <c r="K79" s="6"/>
      <c r="L79" s="6"/>
      <c r="M79" s="6"/>
      <c r="R79" s="17" t="s">
        <v>144</v>
      </c>
      <c r="S79" s="17" t="s">
        <v>275</v>
      </c>
      <c r="T79" s="17" t="s">
        <v>145</v>
      </c>
      <c r="U79" s="17" t="s">
        <v>146</v>
      </c>
      <c r="V79" s="17" t="s">
        <v>147</v>
      </c>
    </row>
    <row r="80" spans="2:22" ht="18.75" x14ac:dyDescent="0.25">
      <c r="B80" s="151"/>
      <c r="C80" s="151"/>
      <c r="D80" s="6"/>
      <c r="E80" s="6"/>
      <c r="F80" s="6"/>
      <c r="H80" s="150"/>
      <c r="I80" s="150"/>
      <c r="J80" s="4"/>
      <c r="K80" s="4"/>
      <c r="L80" s="4"/>
      <c r="M80" s="4"/>
      <c r="R80" s="150"/>
      <c r="S80" s="150"/>
      <c r="T80" s="34"/>
      <c r="U80" s="4"/>
      <c r="V80" s="4"/>
    </row>
    <row r="81" spans="2:22" ht="18.75" x14ac:dyDescent="0.25">
      <c r="B81" s="150"/>
      <c r="C81" s="150"/>
      <c r="D81" s="4"/>
      <c r="E81" s="4"/>
      <c r="F81" s="4"/>
      <c r="H81" s="151"/>
      <c r="I81" s="151"/>
      <c r="J81" s="6"/>
      <c r="K81" s="6"/>
      <c r="L81" s="6"/>
      <c r="M81" s="6"/>
      <c r="R81" s="151"/>
      <c r="S81" s="151"/>
      <c r="T81" s="36"/>
      <c r="U81" s="6"/>
      <c r="V81" s="6"/>
    </row>
    <row r="82" spans="2:22" ht="18.75" x14ac:dyDescent="0.25">
      <c r="B82" s="151"/>
      <c r="C82" s="151"/>
      <c r="D82" s="6"/>
      <c r="E82" s="6"/>
      <c r="F82" s="6"/>
      <c r="H82" s="150"/>
      <c r="I82" s="150"/>
      <c r="J82" s="4"/>
      <c r="K82" s="4"/>
      <c r="L82" s="4"/>
      <c r="M82" s="4"/>
      <c r="R82" s="150"/>
      <c r="S82" s="150"/>
      <c r="T82" s="34"/>
      <c r="U82" s="4"/>
      <c r="V82" s="4"/>
    </row>
    <row r="83" spans="2:22" x14ac:dyDescent="0.25">
      <c r="B83" s="210" t="s">
        <v>148</v>
      </c>
      <c r="C83" s="14"/>
      <c r="D83" s="210">
        <f>SUM(D47:D70)</f>
        <v>0</v>
      </c>
      <c r="E83" s="210">
        <f>SUM(E47+E49+E51+E53+E55+E57+E59)</f>
        <v>0</v>
      </c>
      <c r="F83" s="210">
        <f>SUM(F47:F70)</f>
        <v>0</v>
      </c>
      <c r="H83" s="151"/>
      <c r="I83" s="151"/>
      <c r="J83" s="6"/>
      <c r="K83" s="6"/>
      <c r="L83" s="6"/>
      <c r="M83" s="6"/>
      <c r="R83" s="151"/>
      <c r="S83" s="151"/>
      <c r="T83" s="35"/>
      <c r="U83" s="5"/>
      <c r="V83" s="5"/>
    </row>
    <row r="84" spans="2:22" ht="18.75" x14ac:dyDescent="0.25">
      <c r="B84" s="211"/>
      <c r="C84" s="15"/>
      <c r="D84" s="211"/>
      <c r="E84" s="211"/>
      <c r="F84" s="211"/>
      <c r="H84" s="210" t="s">
        <v>148</v>
      </c>
      <c r="I84" s="14"/>
      <c r="J84" s="210">
        <f>SUM(J48:J71)</f>
        <v>0</v>
      </c>
      <c r="K84" s="210">
        <f>SUM(K48+K50+K52+K54+K56+K58+K60+K62+K64+K66)</f>
        <v>0</v>
      </c>
      <c r="L84" s="14"/>
      <c r="M84" s="210">
        <f>SUM(M48:M71)</f>
        <v>0</v>
      </c>
      <c r="R84" s="150"/>
      <c r="S84" s="150"/>
      <c r="T84" s="34"/>
      <c r="U84" s="4"/>
      <c r="V84" s="4"/>
    </row>
    <row r="85" spans="2:22" x14ac:dyDescent="0.25">
      <c r="H85" s="211"/>
      <c r="I85" s="15"/>
      <c r="J85" s="211"/>
      <c r="K85" s="211"/>
      <c r="L85" s="15"/>
      <c r="M85" s="211"/>
      <c r="R85" s="151"/>
      <c r="S85" s="151"/>
      <c r="T85" s="35"/>
      <c r="U85" s="5"/>
      <c r="V85" s="5"/>
    </row>
    <row r="86" spans="2:22" ht="18.75" x14ac:dyDescent="0.25">
      <c r="R86" s="150"/>
      <c r="S86" s="150"/>
      <c r="T86" s="34"/>
      <c r="U86" s="4"/>
      <c r="V86" s="4"/>
    </row>
    <row r="87" spans="2:22" x14ac:dyDescent="0.25">
      <c r="R87" s="151"/>
      <c r="S87" s="151"/>
      <c r="T87" s="36"/>
      <c r="U87" s="5"/>
      <c r="V87" s="5"/>
    </row>
    <row r="88" spans="2:22" ht="18.75" x14ac:dyDescent="0.25">
      <c r="R88" s="150"/>
      <c r="S88" s="150"/>
      <c r="T88" s="34"/>
      <c r="U88" s="4"/>
      <c r="V88" s="4"/>
    </row>
    <row r="89" spans="2:22" ht="15" customHeight="1" x14ac:dyDescent="0.25">
      <c r="B89" s="296" t="s">
        <v>948</v>
      </c>
      <c r="C89" s="296"/>
      <c r="D89" s="296"/>
      <c r="E89" s="296"/>
      <c r="F89" s="296"/>
      <c r="G89" s="296"/>
      <c r="I89" s="292" t="s">
        <v>951</v>
      </c>
      <c r="J89" s="292"/>
      <c r="K89" s="292"/>
      <c r="L89" s="292"/>
      <c r="M89" s="292"/>
      <c r="N89" s="292"/>
      <c r="R89" s="151"/>
      <c r="S89" s="151"/>
      <c r="T89" s="36"/>
      <c r="U89" s="5"/>
      <c r="V89" s="5"/>
    </row>
    <row r="90" spans="2:22" ht="15" customHeight="1" x14ac:dyDescent="0.25">
      <c r="B90" s="297"/>
      <c r="C90" s="297"/>
      <c r="D90" s="297"/>
      <c r="E90" s="297"/>
      <c r="F90" s="297"/>
      <c r="G90" s="297"/>
      <c r="I90" s="293"/>
      <c r="J90" s="293"/>
      <c r="K90" s="293"/>
      <c r="L90" s="293"/>
      <c r="M90" s="293"/>
      <c r="N90" s="293"/>
      <c r="R90" s="150"/>
      <c r="S90" s="150"/>
      <c r="T90" s="34"/>
      <c r="U90" s="4"/>
      <c r="V90" s="4"/>
    </row>
    <row r="91" spans="2:22" ht="15" customHeight="1" x14ac:dyDescent="0.25">
      <c r="B91" s="88" t="s">
        <v>144</v>
      </c>
      <c r="C91" s="88" t="s">
        <v>275</v>
      </c>
      <c r="D91" s="88" t="s">
        <v>145</v>
      </c>
      <c r="E91" s="88" t="s">
        <v>146</v>
      </c>
      <c r="F91" s="88"/>
      <c r="G91" s="88" t="s">
        <v>147</v>
      </c>
      <c r="I91" s="17" t="s">
        <v>144</v>
      </c>
      <c r="J91" s="17" t="s">
        <v>275</v>
      </c>
      <c r="K91" s="17" t="s">
        <v>145</v>
      </c>
      <c r="L91" s="17" t="s">
        <v>146</v>
      </c>
      <c r="M91" s="17"/>
      <c r="N91" s="17" t="s">
        <v>147</v>
      </c>
      <c r="R91" s="151"/>
      <c r="S91" s="151"/>
      <c r="T91" s="35"/>
      <c r="U91" s="5"/>
      <c r="V91" s="5"/>
    </row>
    <row r="92" spans="2:22" ht="18.75" customHeight="1" x14ac:dyDescent="0.25">
      <c r="B92" s="250" t="s">
        <v>820</v>
      </c>
      <c r="C92" s="250"/>
      <c r="D92" s="4">
        <v>300</v>
      </c>
      <c r="E92" s="4"/>
      <c r="F92" s="4"/>
      <c r="G92" s="4"/>
      <c r="R92" s="150"/>
      <c r="S92" s="150"/>
      <c r="T92" s="34"/>
      <c r="U92" s="4"/>
      <c r="V92" s="4"/>
    </row>
    <row r="93" spans="2:22" ht="18.75" x14ac:dyDescent="0.25">
      <c r="B93" s="225"/>
      <c r="C93" s="225"/>
      <c r="D93" s="89" t="s">
        <v>821</v>
      </c>
      <c r="E93" s="28"/>
      <c r="F93" s="28"/>
      <c r="G93" s="28"/>
      <c r="R93" s="151"/>
      <c r="S93" s="151"/>
      <c r="T93" s="35"/>
      <c r="U93" s="5"/>
      <c r="V93" s="5"/>
    </row>
    <row r="94" spans="2:22" ht="18.75" x14ac:dyDescent="0.25">
      <c r="B94" s="250"/>
      <c r="C94" s="250"/>
      <c r="D94" s="65"/>
      <c r="E94" s="4"/>
      <c r="F94" s="4"/>
      <c r="G94" s="4"/>
      <c r="I94" s="150"/>
      <c r="J94" s="150"/>
      <c r="K94" s="65"/>
      <c r="L94" s="4"/>
      <c r="M94" s="4"/>
      <c r="N94" s="4"/>
      <c r="R94" s="150"/>
      <c r="S94" s="150"/>
      <c r="T94" s="34"/>
      <c r="U94" s="4"/>
      <c r="V94" s="4"/>
    </row>
    <row r="95" spans="2:22" ht="18.75" x14ac:dyDescent="0.25">
      <c r="B95" s="225"/>
      <c r="C95" s="225"/>
      <c r="D95" s="89"/>
      <c r="E95" s="28"/>
      <c r="F95" s="28"/>
      <c r="G95" s="28"/>
      <c r="I95" s="151"/>
      <c r="J95" s="151"/>
      <c r="K95" s="5"/>
      <c r="L95" s="33"/>
      <c r="M95" s="33"/>
      <c r="N95" s="33"/>
      <c r="R95" s="151"/>
      <c r="S95" s="151"/>
      <c r="T95" s="35"/>
      <c r="U95" s="5"/>
      <c r="V95" s="5"/>
    </row>
    <row r="96" spans="2:22" ht="18.75" x14ac:dyDescent="0.25">
      <c r="B96" s="250"/>
      <c r="C96" s="250"/>
      <c r="D96" s="65"/>
      <c r="E96" s="4"/>
      <c r="F96" s="4"/>
      <c r="G96" s="4"/>
      <c r="I96" s="150"/>
      <c r="J96" s="150"/>
      <c r="K96" s="65"/>
      <c r="L96" s="4"/>
      <c r="M96" s="4"/>
      <c r="N96" s="4"/>
      <c r="R96" s="150"/>
      <c r="S96" s="150"/>
      <c r="T96" s="34"/>
      <c r="U96" s="4"/>
      <c r="V96" s="4"/>
    </row>
    <row r="97" spans="2:22" ht="18.75" x14ac:dyDescent="0.25">
      <c r="B97" s="225"/>
      <c r="C97" s="225"/>
      <c r="D97" s="89"/>
      <c r="E97" s="28"/>
      <c r="F97" s="28"/>
      <c r="G97" s="28"/>
      <c r="I97" s="151"/>
      <c r="J97" s="151"/>
      <c r="K97" s="5"/>
      <c r="L97" s="33"/>
      <c r="M97" s="33"/>
      <c r="N97" s="33"/>
      <c r="R97" s="151"/>
      <c r="S97" s="151"/>
      <c r="T97" s="35"/>
      <c r="U97" s="5"/>
      <c r="V97" s="5"/>
    </row>
    <row r="98" spans="2:22" ht="18.75" x14ac:dyDescent="0.25">
      <c r="B98" s="250"/>
      <c r="C98" s="250"/>
      <c r="D98" s="65"/>
      <c r="E98" s="4"/>
      <c r="F98" s="4"/>
      <c r="G98" s="4"/>
      <c r="I98" s="150"/>
      <c r="J98" s="150"/>
      <c r="K98" s="65"/>
      <c r="L98" s="4"/>
      <c r="M98" s="4"/>
      <c r="N98" s="4"/>
      <c r="R98" s="150"/>
      <c r="S98" s="150"/>
      <c r="T98" s="34"/>
      <c r="U98" s="4"/>
      <c r="V98" s="4"/>
    </row>
    <row r="99" spans="2:22" ht="18.75" x14ac:dyDescent="0.25">
      <c r="B99" s="225"/>
      <c r="C99" s="225"/>
      <c r="D99" s="89"/>
      <c r="E99" s="28"/>
      <c r="F99" s="28"/>
      <c r="G99" s="28"/>
      <c r="I99" s="151"/>
      <c r="J99" s="151"/>
      <c r="K99" s="6"/>
      <c r="L99" s="33"/>
      <c r="M99" s="33"/>
      <c r="N99" s="33"/>
      <c r="R99" s="151"/>
      <c r="S99" s="151"/>
      <c r="T99" s="35"/>
      <c r="U99" s="5"/>
      <c r="V99" s="5"/>
    </row>
    <row r="100" spans="2:22" ht="18.75" x14ac:dyDescent="0.25">
      <c r="B100" s="250"/>
      <c r="C100" s="250"/>
      <c r="D100" s="65"/>
      <c r="E100" s="4"/>
      <c r="F100" s="4"/>
      <c r="G100" s="4"/>
      <c r="I100" s="150"/>
      <c r="J100" s="150"/>
      <c r="K100" s="65"/>
      <c r="L100" s="4"/>
      <c r="M100" s="4"/>
      <c r="N100" s="4"/>
      <c r="R100" s="210" t="s">
        <v>148</v>
      </c>
      <c r="S100" s="14"/>
      <c r="T100" s="210">
        <f>SUM(T80:T99)</f>
        <v>0</v>
      </c>
      <c r="U100" s="210">
        <f>SUM(U80+U82+U84+U86+U88+U90+U92+U94+U96+U98)</f>
        <v>0</v>
      </c>
      <c r="V100" s="210">
        <f>SUM(V80:V99)</f>
        <v>0</v>
      </c>
    </row>
    <row r="101" spans="2:22" ht="18.75" x14ac:dyDescent="0.25">
      <c r="B101" s="225"/>
      <c r="C101" s="225"/>
      <c r="D101" s="89"/>
      <c r="E101" s="28"/>
      <c r="F101" s="28"/>
      <c r="G101" s="28"/>
      <c r="I101" s="151"/>
      <c r="J101" s="151"/>
      <c r="K101" s="6"/>
      <c r="L101" s="33"/>
      <c r="M101" s="33"/>
      <c r="N101" s="33"/>
      <c r="R101" s="211"/>
      <c r="S101" s="15"/>
      <c r="T101" s="211"/>
      <c r="U101" s="211"/>
      <c r="V101" s="211"/>
    </row>
    <row r="102" spans="2:22" ht="18.75" x14ac:dyDescent="0.25">
      <c r="B102" s="250"/>
      <c r="C102" s="250"/>
      <c r="D102" s="65"/>
      <c r="E102" s="4"/>
      <c r="F102" s="4"/>
      <c r="G102" s="4"/>
      <c r="I102" s="150"/>
      <c r="J102" s="150"/>
      <c r="K102" s="65"/>
      <c r="L102" s="4"/>
      <c r="M102" s="4"/>
      <c r="N102" s="4"/>
    </row>
    <row r="103" spans="2:22" ht="18.75" x14ac:dyDescent="0.25">
      <c r="B103" s="225"/>
      <c r="C103" s="225"/>
      <c r="D103" s="89"/>
      <c r="E103" s="28"/>
      <c r="F103" s="28"/>
      <c r="G103" s="28"/>
      <c r="I103" s="151"/>
      <c r="J103" s="151"/>
      <c r="K103" s="5"/>
      <c r="L103" s="33"/>
      <c r="M103" s="33"/>
      <c r="N103" s="33"/>
    </row>
    <row r="104" spans="2:22" ht="18.75" x14ac:dyDescent="0.25">
      <c r="B104" s="250"/>
      <c r="C104" s="250"/>
      <c r="D104" s="65"/>
      <c r="E104" s="4"/>
      <c r="F104" s="4"/>
      <c r="G104" s="4"/>
      <c r="I104" s="150"/>
      <c r="J104" s="150"/>
      <c r="K104" s="65"/>
      <c r="L104" s="4"/>
      <c r="M104" s="4"/>
      <c r="N104" s="4"/>
    </row>
    <row r="105" spans="2:22" ht="18.75" customHeight="1" x14ac:dyDescent="0.25">
      <c r="B105" s="225"/>
      <c r="C105" s="225"/>
      <c r="D105" s="89"/>
      <c r="E105" s="28"/>
      <c r="F105" s="28"/>
      <c r="G105" s="28"/>
      <c r="I105" s="151"/>
      <c r="J105" s="151"/>
      <c r="K105" s="5"/>
      <c r="L105" s="33"/>
      <c r="M105" s="33"/>
      <c r="N105" s="33"/>
      <c r="R105" s="292" t="s">
        <v>1133</v>
      </c>
      <c r="S105" s="292"/>
      <c r="T105" s="292"/>
      <c r="U105" s="292"/>
      <c r="V105" s="292"/>
    </row>
    <row r="106" spans="2:22" ht="18.75" customHeight="1" x14ac:dyDescent="0.25">
      <c r="B106" s="250"/>
      <c r="C106" s="250"/>
      <c r="D106" s="65"/>
      <c r="E106" s="4"/>
      <c r="F106" s="4"/>
      <c r="G106" s="4"/>
      <c r="I106" s="150"/>
      <c r="J106" s="150"/>
      <c r="K106" s="65"/>
      <c r="L106" s="4"/>
      <c r="M106" s="4"/>
      <c r="N106" s="4"/>
      <c r="R106" s="293"/>
      <c r="S106" s="293"/>
      <c r="T106" s="293"/>
      <c r="U106" s="293"/>
      <c r="V106" s="293"/>
    </row>
    <row r="107" spans="2:22" ht="18.75" x14ac:dyDescent="0.25">
      <c r="B107" s="225"/>
      <c r="C107" s="225"/>
      <c r="D107" s="89"/>
      <c r="E107" s="28"/>
      <c r="F107" s="28"/>
      <c r="G107" s="28"/>
      <c r="I107" s="151"/>
      <c r="J107" s="151"/>
      <c r="K107" s="5"/>
      <c r="L107" s="33"/>
      <c r="M107" s="33"/>
      <c r="N107" s="33"/>
      <c r="R107" s="17" t="s">
        <v>144</v>
      </c>
      <c r="S107" s="17" t="s">
        <v>275</v>
      </c>
      <c r="T107" s="17" t="s">
        <v>145</v>
      </c>
      <c r="U107" s="17" t="s">
        <v>146</v>
      </c>
      <c r="V107" s="17" t="s">
        <v>147</v>
      </c>
    </row>
    <row r="108" spans="2:22" ht="18.75" x14ac:dyDescent="0.25">
      <c r="B108" s="250"/>
      <c r="C108" s="250"/>
      <c r="D108" s="65"/>
      <c r="E108" s="4"/>
      <c r="F108" s="4"/>
      <c r="G108" s="4"/>
      <c r="I108" s="150"/>
      <c r="J108" s="150"/>
      <c r="K108" s="65"/>
      <c r="L108" s="4"/>
      <c r="M108" s="4"/>
      <c r="N108" s="4"/>
      <c r="R108" s="150" t="s">
        <v>1134</v>
      </c>
      <c r="S108" s="150" t="s">
        <v>1135</v>
      </c>
      <c r="T108" s="65"/>
      <c r="U108" s="4"/>
      <c r="V108" s="4" t="s">
        <v>1139</v>
      </c>
    </row>
    <row r="109" spans="2:22" ht="18.75" x14ac:dyDescent="0.25">
      <c r="B109" s="225"/>
      <c r="C109" s="225"/>
      <c r="D109" s="89"/>
      <c r="E109" s="28"/>
      <c r="F109" s="28"/>
      <c r="G109" s="28"/>
      <c r="I109" s="151"/>
      <c r="J109" s="151"/>
      <c r="K109" s="5"/>
      <c r="L109" s="33"/>
      <c r="M109" s="33"/>
      <c r="N109" s="33"/>
      <c r="R109" s="151"/>
      <c r="S109" s="151"/>
      <c r="T109" s="6"/>
      <c r="U109" s="6"/>
      <c r="V109" s="6" t="s">
        <v>1138</v>
      </c>
    </row>
    <row r="110" spans="2:22" ht="18.75" customHeight="1" x14ac:dyDescent="0.25">
      <c r="B110" s="250"/>
      <c r="C110" s="250"/>
      <c r="D110" s="89"/>
      <c r="E110" s="4"/>
      <c r="F110" s="4"/>
      <c r="G110" s="4"/>
      <c r="I110" s="150"/>
      <c r="J110" s="150"/>
      <c r="K110" s="5"/>
      <c r="L110" s="4"/>
      <c r="M110" s="4"/>
      <c r="N110" s="4"/>
      <c r="R110" s="142" t="s">
        <v>1136</v>
      </c>
      <c r="S110" s="150" t="s">
        <v>1137</v>
      </c>
      <c r="T110" s="65">
        <v>300</v>
      </c>
      <c r="U110" s="4">
        <v>500</v>
      </c>
      <c r="V110" s="4">
        <v>4000</v>
      </c>
    </row>
    <row r="111" spans="2:22" ht="18.75" customHeight="1" x14ac:dyDescent="0.25">
      <c r="B111" s="225"/>
      <c r="C111" s="225"/>
      <c r="D111" s="89"/>
      <c r="E111" s="28"/>
      <c r="F111" s="28"/>
      <c r="G111" s="28"/>
      <c r="I111" s="151"/>
      <c r="J111" s="151"/>
      <c r="K111" s="5"/>
      <c r="L111" s="33"/>
      <c r="M111" s="33"/>
      <c r="N111" s="33"/>
      <c r="R111" s="143"/>
      <c r="S111" s="151"/>
      <c r="T111" s="5" t="s">
        <v>1140</v>
      </c>
      <c r="U111" s="5" t="s">
        <v>1141</v>
      </c>
      <c r="V111" s="5" t="s">
        <v>1141</v>
      </c>
    </row>
    <row r="112" spans="2:22" ht="18.75" x14ac:dyDescent="0.25">
      <c r="B112" s="250"/>
      <c r="C112" s="250"/>
      <c r="D112" s="4"/>
      <c r="E112" s="4"/>
      <c r="F112" s="4"/>
      <c r="G112" s="4"/>
      <c r="I112" s="150"/>
      <c r="J112" s="150"/>
      <c r="K112" s="4"/>
      <c r="L112" s="4"/>
      <c r="M112" s="4"/>
      <c r="N112" s="4"/>
      <c r="R112" s="142" t="s">
        <v>1142</v>
      </c>
      <c r="S112" s="150"/>
      <c r="T112" s="65"/>
      <c r="U112" s="4"/>
      <c r="V112" s="4"/>
    </row>
    <row r="113" spans="2:22" ht="18.75" x14ac:dyDescent="0.25">
      <c r="B113" s="225"/>
      <c r="C113" s="225"/>
      <c r="D113" s="89"/>
      <c r="E113" s="89"/>
      <c r="F113" s="89"/>
      <c r="G113" s="89"/>
      <c r="I113" s="151"/>
      <c r="J113" s="151"/>
      <c r="K113" s="5"/>
      <c r="L113" s="5"/>
      <c r="M113" s="5"/>
      <c r="N113" s="5"/>
      <c r="R113" s="143"/>
      <c r="S113" s="151"/>
      <c r="T113" s="5"/>
      <c r="U113" s="5"/>
      <c r="V113" s="5"/>
    </row>
    <row r="114" spans="2:22" ht="18.75" x14ac:dyDescent="0.25">
      <c r="B114" s="250"/>
      <c r="C114" s="250"/>
      <c r="D114" s="4"/>
      <c r="E114" s="4"/>
      <c r="F114" s="4"/>
      <c r="G114" s="4"/>
      <c r="I114" s="150"/>
      <c r="J114" s="150"/>
      <c r="K114" s="4"/>
      <c r="L114" s="4"/>
      <c r="M114" s="4"/>
      <c r="N114" s="4"/>
      <c r="R114" s="142"/>
      <c r="S114" s="150"/>
      <c r="T114" s="65"/>
      <c r="U114" s="4"/>
      <c r="V114" s="4"/>
    </row>
    <row r="115" spans="2:22" ht="18.75" x14ac:dyDescent="0.25">
      <c r="B115" s="225"/>
      <c r="C115" s="225"/>
      <c r="D115" s="89"/>
      <c r="E115" s="89"/>
      <c r="F115" s="89"/>
      <c r="G115" s="89"/>
      <c r="I115" s="151"/>
      <c r="J115" s="151"/>
      <c r="K115" s="6"/>
      <c r="L115" s="5"/>
      <c r="M115" s="5"/>
      <c r="N115" s="5"/>
      <c r="R115" s="143"/>
      <c r="S115" s="151"/>
      <c r="T115" s="6"/>
      <c r="U115" s="5"/>
      <c r="V115" s="5"/>
    </row>
    <row r="116" spans="2:22" ht="18.75" x14ac:dyDescent="0.25">
      <c r="B116" s="250"/>
      <c r="C116" s="250"/>
      <c r="D116" s="4"/>
      <c r="E116" s="4"/>
      <c r="F116" s="4"/>
      <c r="G116" s="4"/>
      <c r="I116" s="150"/>
      <c r="J116" s="150"/>
      <c r="K116" s="4"/>
      <c r="L116" s="4"/>
      <c r="M116" s="4"/>
      <c r="N116" s="4"/>
      <c r="R116" s="142"/>
      <c r="S116" s="150"/>
      <c r="T116" s="65"/>
      <c r="U116" s="4"/>
      <c r="V116" s="4"/>
    </row>
    <row r="117" spans="2:22" ht="18.75" x14ac:dyDescent="0.25">
      <c r="B117" s="225"/>
      <c r="C117" s="225"/>
      <c r="D117" s="89"/>
      <c r="E117" s="89"/>
      <c r="F117" s="89"/>
      <c r="G117" s="89"/>
      <c r="I117" s="151"/>
      <c r="J117" s="151"/>
      <c r="K117" s="6"/>
      <c r="L117" s="5"/>
      <c r="M117" s="5"/>
      <c r="N117" s="5"/>
      <c r="R117" s="143"/>
      <c r="S117" s="151"/>
      <c r="T117" s="6"/>
      <c r="U117" s="5"/>
      <c r="V117" s="5"/>
    </row>
    <row r="118" spans="2:22" ht="18.75" x14ac:dyDescent="0.25">
      <c r="B118" s="250"/>
      <c r="C118" s="250"/>
      <c r="D118" s="4"/>
      <c r="E118" s="4"/>
      <c r="F118" s="4"/>
      <c r="G118" s="4"/>
      <c r="I118" s="150"/>
      <c r="J118" s="150"/>
      <c r="K118" s="4"/>
      <c r="L118" s="4"/>
      <c r="M118" s="4"/>
      <c r="N118" s="4"/>
      <c r="R118" s="142"/>
      <c r="S118" s="150"/>
      <c r="T118" s="65"/>
      <c r="U118" s="4"/>
      <c r="V118" s="4"/>
    </row>
    <row r="119" spans="2:22" ht="18.75" x14ac:dyDescent="0.25">
      <c r="B119" s="225"/>
      <c r="C119" s="225"/>
      <c r="D119" s="89"/>
      <c r="E119" s="89"/>
      <c r="F119" s="89"/>
      <c r="G119" s="89"/>
      <c r="I119" s="151"/>
      <c r="J119" s="151"/>
      <c r="K119" s="6"/>
      <c r="L119" s="5"/>
      <c r="M119" s="5"/>
      <c r="N119" s="5"/>
      <c r="R119" s="143"/>
      <c r="S119" s="151"/>
      <c r="T119" s="5"/>
      <c r="U119" s="5"/>
      <c r="V119" s="5"/>
    </row>
    <row r="120" spans="2:22" ht="18.75" x14ac:dyDescent="0.25">
      <c r="B120" s="250"/>
      <c r="C120" s="250"/>
      <c r="D120" s="4"/>
      <c r="E120" s="4"/>
      <c r="F120" s="4"/>
      <c r="G120" s="4"/>
      <c r="I120" s="150"/>
      <c r="J120" s="150"/>
      <c r="K120" s="4"/>
      <c r="L120" s="4"/>
      <c r="M120" s="4"/>
      <c r="N120" s="4"/>
      <c r="R120" s="142"/>
      <c r="S120" s="150"/>
      <c r="T120" s="65"/>
      <c r="U120" s="4"/>
      <c r="V120" s="4"/>
    </row>
    <row r="121" spans="2:22" ht="18.75" x14ac:dyDescent="0.25">
      <c r="B121" s="225"/>
      <c r="C121" s="225"/>
      <c r="D121" s="89"/>
      <c r="E121" s="89"/>
      <c r="F121" s="89"/>
      <c r="G121" s="89"/>
      <c r="I121" s="151"/>
      <c r="J121" s="151"/>
      <c r="K121" s="6"/>
      <c r="L121" s="6"/>
      <c r="M121" s="6"/>
      <c r="N121" s="6"/>
      <c r="R121" s="143"/>
      <c r="S121" s="151"/>
      <c r="T121" s="5"/>
      <c r="U121" s="5"/>
      <c r="V121" s="5"/>
    </row>
    <row r="122" spans="2:22" ht="18.75" x14ac:dyDescent="0.25">
      <c r="B122" s="250"/>
      <c r="C122" s="250"/>
      <c r="D122" s="4"/>
      <c r="E122" s="4"/>
      <c r="F122" s="4"/>
      <c r="G122" s="4"/>
      <c r="I122" s="150"/>
      <c r="J122" s="150"/>
      <c r="K122" s="4"/>
      <c r="L122" s="4"/>
      <c r="M122" s="4"/>
      <c r="N122" s="4"/>
      <c r="R122" s="142"/>
      <c r="S122" s="150"/>
      <c r="T122" s="65"/>
      <c r="U122" s="4"/>
      <c r="V122" s="4"/>
    </row>
    <row r="123" spans="2:22" ht="18.75" x14ac:dyDescent="0.25">
      <c r="B123" s="225"/>
      <c r="C123" s="225"/>
      <c r="D123" s="89"/>
      <c r="E123" s="89"/>
      <c r="F123" s="89"/>
      <c r="G123" s="89"/>
      <c r="I123" s="151"/>
      <c r="J123" s="151"/>
      <c r="K123" s="6"/>
      <c r="L123" s="6"/>
      <c r="M123" s="6"/>
      <c r="N123" s="6"/>
      <c r="R123" s="143"/>
      <c r="S123" s="151"/>
      <c r="T123" s="5"/>
      <c r="U123" s="5"/>
      <c r="V123" s="5"/>
    </row>
    <row r="124" spans="2:22" ht="18.75" x14ac:dyDescent="0.25">
      <c r="B124" s="250"/>
      <c r="C124" s="250"/>
      <c r="D124" s="4"/>
      <c r="E124" s="4"/>
      <c r="F124" s="4"/>
      <c r="G124" s="4"/>
      <c r="I124" s="150"/>
      <c r="J124" s="150"/>
      <c r="K124" s="4"/>
      <c r="L124" s="4"/>
      <c r="M124" s="4"/>
      <c r="N124" s="4"/>
      <c r="R124" s="142"/>
      <c r="S124" s="150"/>
      <c r="T124" s="65"/>
      <c r="U124" s="4"/>
      <c r="V124" s="4"/>
    </row>
    <row r="125" spans="2:22" ht="18.75" x14ac:dyDescent="0.25">
      <c r="B125" s="225"/>
      <c r="C125" s="225"/>
      <c r="D125" s="89"/>
      <c r="E125" s="89"/>
      <c r="F125" s="89"/>
      <c r="G125" s="89"/>
      <c r="I125" s="151"/>
      <c r="J125" s="151"/>
      <c r="K125" s="6"/>
      <c r="L125" s="6"/>
      <c r="M125" s="6"/>
      <c r="N125" s="6"/>
      <c r="R125" s="143"/>
      <c r="S125" s="151"/>
      <c r="T125" s="5"/>
      <c r="U125" s="5"/>
      <c r="V125" s="5"/>
    </row>
    <row r="126" spans="2:22" ht="18.75" x14ac:dyDescent="0.25">
      <c r="B126" s="250"/>
      <c r="C126" s="250"/>
      <c r="D126" s="4"/>
      <c r="E126" s="4"/>
      <c r="F126" s="4"/>
      <c r="G126" s="4"/>
      <c r="I126" s="150"/>
      <c r="J126" s="150"/>
      <c r="K126" s="4"/>
      <c r="L126" s="4"/>
      <c r="M126" s="4"/>
      <c r="N126" s="4"/>
      <c r="R126" s="142"/>
      <c r="S126" s="150"/>
      <c r="T126" s="65"/>
      <c r="U126" s="4"/>
      <c r="V126" s="4"/>
    </row>
    <row r="127" spans="2:22" ht="18.75" x14ac:dyDescent="0.25">
      <c r="B127" s="225"/>
      <c r="C127" s="225"/>
      <c r="D127" s="89"/>
      <c r="E127" s="89"/>
      <c r="F127" s="89"/>
      <c r="G127" s="89"/>
      <c r="I127" s="151"/>
      <c r="J127" s="151"/>
      <c r="K127" s="6"/>
      <c r="L127" s="6"/>
      <c r="M127" s="6"/>
      <c r="N127" s="6"/>
      <c r="R127" s="143"/>
      <c r="S127" s="151"/>
      <c r="T127" s="6"/>
      <c r="U127" s="5"/>
      <c r="V127" s="5"/>
    </row>
    <row r="128" spans="2:22" ht="18.75" x14ac:dyDescent="0.25">
      <c r="B128" s="294" t="s">
        <v>148</v>
      </c>
      <c r="C128" s="90"/>
      <c r="D128" s="294">
        <f>SUM(D92:D115)</f>
        <v>300</v>
      </c>
      <c r="E128" s="294">
        <f>SUM(E92+E94+E96+E98+E100+E102+E104+E106+E108+E110)</f>
        <v>0</v>
      </c>
      <c r="F128" s="90"/>
      <c r="G128" s="294">
        <f>SUM(G92:G115)</f>
        <v>0</v>
      </c>
      <c r="I128" s="210" t="s">
        <v>148</v>
      </c>
      <c r="J128" s="14"/>
      <c r="K128" s="210">
        <f>SUM(K92:K115)</f>
        <v>0</v>
      </c>
      <c r="L128" s="210">
        <f>SUM(U28+L94+L96+L98+L100+L102+L104+L106+L108+L110)</f>
        <v>500</v>
      </c>
      <c r="M128" s="14"/>
      <c r="N128" s="210">
        <f>SUM(N92:N115)</f>
        <v>0</v>
      </c>
      <c r="R128" s="210" t="s">
        <v>148</v>
      </c>
      <c r="S128" s="14"/>
      <c r="T128" s="210">
        <f>SUM(T108:T127)</f>
        <v>300</v>
      </c>
      <c r="U128" s="210">
        <f>SUM(U108+U110+U112+U114+U116+U118+U120+U122+U124+U126)</f>
        <v>500</v>
      </c>
      <c r="V128" s="210">
        <f>SUM(V108:V127)</f>
        <v>4000</v>
      </c>
    </row>
    <row r="129" spans="2:22" ht="18.75" x14ac:dyDescent="0.25">
      <c r="B129" s="295"/>
      <c r="C129" s="91"/>
      <c r="D129" s="295"/>
      <c r="E129" s="295"/>
      <c r="F129" s="91"/>
      <c r="G129" s="295"/>
      <c r="I129" s="211"/>
      <c r="J129" s="15"/>
      <c r="K129" s="211"/>
      <c r="L129" s="211"/>
      <c r="M129" s="15"/>
      <c r="N129" s="211"/>
      <c r="R129" s="211"/>
      <c r="S129" s="15"/>
      <c r="T129" s="211"/>
      <c r="U129" s="211"/>
      <c r="V129" s="211"/>
    </row>
  </sheetData>
  <mergeCells count="361">
    <mergeCell ref="R124:R125"/>
    <mergeCell ref="S124:S125"/>
    <mergeCell ref="R126:R127"/>
    <mergeCell ref="S126:S127"/>
    <mergeCell ref="R128:R129"/>
    <mergeCell ref="T128:T129"/>
    <mergeCell ref="R112:R113"/>
    <mergeCell ref="S112:S113"/>
    <mergeCell ref="R114:R115"/>
    <mergeCell ref="S114:S115"/>
    <mergeCell ref="R116:R117"/>
    <mergeCell ref="S116:S117"/>
    <mergeCell ref="R118:R119"/>
    <mergeCell ref="S118:S119"/>
    <mergeCell ref="R120:R121"/>
    <mergeCell ref="S120:S121"/>
    <mergeCell ref="H32:H33"/>
    <mergeCell ref="H34:H35"/>
    <mergeCell ref="H36:H37"/>
    <mergeCell ref="H38:H39"/>
    <mergeCell ref="U128:U129"/>
    <mergeCell ref="R100:R101"/>
    <mergeCell ref="T100:T101"/>
    <mergeCell ref="U100:U101"/>
    <mergeCell ref="V100:V101"/>
    <mergeCell ref="R77:V78"/>
    <mergeCell ref="S80:S81"/>
    <mergeCell ref="S82:S83"/>
    <mergeCell ref="S84:S85"/>
    <mergeCell ref="R86:R87"/>
    <mergeCell ref="S86:S87"/>
    <mergeCell ref="R80:R81"/>
    <mergeCell ref="R82:R83"/>
    <mergeCell ref="R84:R85"/>
    <mergeCell ref="V128:V129"/>
    <mergeCell ref="R105:V106"/>
    <mergeCell ref="R108:R109"/>
    <mergeCell ref="S108:S109"/>
    <mergeCell ref="R110:R111"/>
    <mergeCell ref="S110:S111"/>
    <mergeCell ref="H40:H41"/>
    <mergeCell ref="J40:J41"/>
    <mergeCell ref="K40:K41"/>
    <mergeCell ref="I32:I33"/>
    <mergeCell ref="I34:I35"/>
    <mergeCell ref="I36:I37"/>
    <mergeCell ref="I38:I39"/>
    <mergeCell ref="B22:B23"/>
    <mergeCell ref="H4:H5"/>
    <mergeCell ref="H6:H7"/>
    <mergeCell ref="H8:H9"/>
    <mergeCell ref="H10:H11"/>
    <mergeCell ref="B14:B15"/>
    <mergeCell ref="B16:B17"/>
    <mergeCell ref="B18:B19"/>
    <mergeCell ref="B20:B21"/>
    <mergeCell ref="H16:H17"/>
    <mergeCell ref="H18:H19"/>
    <mergeCell ref="H20:H21"/>
    <mergeCell ref="I22:I23"/>
    <mergeCell ref="C38:C39"/>
    <mergeCell ref="C28:C29"/>
    <mergeCell ref="C30:C31"/>
    <mergeCell ref="C32:C33"/>
    <mergeCell ref="B24:B25"/>
    <mergeCell ref="C22:C23"/>
    <mergeCell ref="C24:C25"/>
    <mergeCell ref="C26:C27"/>
    <mergeCell ref="H12:H13"/>
    <mergeCell ref="H14:H15"/>
    <mergeCell ref="B12:B13"/>
    <mergeCell ref="B4:B5"/>
    <mergeCell ref="B6:B7"/>
    <mergeCell ref="B8:B9"/>
    <mergeCell ref="B10:B11"/>
    <mergeCell ref="B38:B39"/>
    <mergeCell ref="B40:B41"/>
    <mergeCell ref="D40:D41"/>
    <mergeCell ref="E40:E41"/>
    <mergeCell ref="F40:F41"/>
    <mergeCell ref="B26:B27"/>
    <mergeCell ref="B28:B29"/>
    <mergeCell ref="B30:B31"/>
    <mergeCell ref="B32:B33"/>
    <mergeCell ref="B34:B35"/>
    <mergeCell ref="B36:B37"/>
    <mergeCell ref="B2:F2"/>
    <mergeCell ref="S4:S5"/>
    <mergeCell ref="S6:S7"/>
    <mergeCell ref="S8:S9"/>
    <mergeCell ref="S10:S11"/>
    <mergeCell ref="I4:I5"/>
    <mergeCell ref="I6:I7"/>
    <mergeCell ref="I8:I9"/>
    <mergeCell ref="I10:I11"/>
    <mergeCell ref="C4:C5"/>
    <mergeCell ref="C6:C7"/>
    <mergeCell ref="C8:C9"/>
    <mergeCell ref="C10:C11"/>
    <mergeCell ref="R4:R5"/>
    <mergeCell ref="R6:R7"/>
    <mergeCell ref="R8:R9"/>
    <mergeCell ref="R10:R11"/>
    <mergeCell ref="R2:V2"/>
    <mergeCell ref="H2:M2"/>
    <mergeCell ref="H30:H31"/>
    <mergeCell ref="I26:I27"/>
    <mergeCell ref="I28:I29"/>
    <mergeCell ref="I30:I31"/>
    <mergeCell ref="R16:R17"/>
    <mergeCell ref="R18:R19"/>
    <mergeCell ref="R20:R21"/>
    <mergeCell ref="R22:R23"/>
    <mergeCell ref="H24:H25"/>
    <mergeCell ref="R24:V25"/>
    <mergeCell ref="H22:H23"/>
    <mergeCell ref="H56:H57"/>
    <mergeCell ref="I56:I57"/>
    <mergeCell ref="H58:H59"/>
    <mergeCell ref="I58:I59"/>
    <mergeCell ref="H60:H61"/>
    <mergeCell ref="I60:I61"/>
    <mergeCell ref="H62:H63"/>
    <mergeCell ref="I62:I63"/>
    <mergeCell ref="H64:H65"/>
    <mergeCell ref="I64:I65"/>
    <mergeCell ref="R47:V48"/>
    <mergeCell ref="I48:I49"/>
    <mergeCell ref="I50:I51"/>
    <mergeCell ref="I52:I53"/>
    <mergeCell ref="I54:I55"/>
    <mergeCell ref="C34:C35"/>
    <mergeCell ref="C36:C37"/>
    <mergeCell ref="C12:C13"/>
    <mergeCell ref="C14:C15"/>
    <mergeCell ref="C16:C17"/>
    <mergeCell ref="C18:C19"/>
    <mergeCell ref="C20:C21"/>
    <mergeCell ref="H48:H49"/>
    <mergeCell ref="H50:H51"/>
    <mergeCell ref="H52:H53"/>
    <mergeCell ref="H54:H55"/>
    <mergeCell ref="S22:S23"/>
    <mergeCell ref="S26:S27"/>
    <mergeCell ref="S30:S31"/>
    <mergeCell ref="S16:S17"/>
    <mergeCell ref="S18:S19"/>
    <mergeCell ref="S20:S21"/>
    <mergeCell ref="H26:H27"/>
    <mergeCell ref="H28:H29"/>
    <mergeCell ref="I12:I13"/>
    <mergeCell ref="I14:I15"/>
    <mergeCell ref="I16:I17"/>
    <mergeCell ref="I18:I19"/>
    <mergeCell ref="I20:I21"/>
    <mergeCell ref="S12:S13"/>
    <mergeCell ref="S14:S15"/>
    <mergeCell ref="M40:M41"/>
    <mergeCell ref="R12:R13"/>
    <mergeCell ref="R14:R15"/>
    <mergeCell ref="R26:R27"/>
    <mergeCell ref="R30:R31"/>
    <mergeCell ref="I24:I25"/>
    <mergeCell ref="R32:R33"/>
    <mergeCell ref="R34:R35"/>
    <mergeCell ref="R36:R37"/>
    <mergeCell ref="R38:R39"/>
    <mergeCell ref="S32:S33"/>
    <mergeCell ref="S34:S35"/>
    <mergeCell ref="S36:S37"/>
    <mergeCell ref="S38:S39"/>
    <mergeCell ref="R28:R29"/>
    <mergeCell ref="S28:S29"/>
    <mergeCell ref="R40:R41"/>
    <mergeCell ref="U70:U71"/>
    <mergeCell ref="V70:V71"/>
    <mergeCell ref="R50:R51"/>
    <mergeCell ref="R52:R53"/>
    <mergeCell ref="R54:R55"/>
    <mergeCell ref="R56:R57"/>
    <mergeCell ref="R58:R59"/>
    <mergeCell ref="R60:R61"/>
    <mergeCell ref="R62:R63"/>
    <mergeCell ref="R64:R65"/>
    <mergeCell ref="R66:R67"/>
    <mergeCell ref="R68:R69"/>
    <mergeCell ref="T70:T71"/>
    <mergeCell ref="S62:S63"/>
    <mergeCell ref="R70:R71"/>
    <mergeCell ref="S50:S51"/>
    <mergeCell ref="S68:S69"/>
    <mergeCell ref="S54:S55"/>
    <mergeCell ref="S56:S57"/>
    <mergeCell ref="S58:S59"/>
    <mergeCell ref="S60:S61"/>
    <mergeCell ref="S52:S53"/>
    <mergeCell ref="S64:S65"/>
    <mergeCell ref="S66:S67"/>
    <mergeCell ref="I76:I77"/>
    <mergeCell ref="H78:H79"/>
    <mergeCell ref="I78:I79"/>
    <mergeCell ref="H80:H81"/>
    <mergeCell ref="I80:I81"/>
    <mergeCell ref="H82:H83"/>
    <mergeCell ref="I82:I83"/>
    <mergeCell ref="H84:H85"/>
    <mergeCell ref="I66:I67"/>
    <mergeCell ref="H68:H69"/>
    <mergeCell ref="I68:I69"/>
    <mergeCell ref="H70:H71"/>
    <mergeCell ref="I70:I71"/>
    <mergeCell ref="H72:H73"/>
    <mergeCell ref="I72:I73"/>
    <mergeCell ref="H74:H75"/>
    <mergeCell ref="I74:I75"/>
    <mergeCell ref="H66:H67"/>
    <mergeCell ref="B55:B56"/>
    <mergeCell ref="C55:C56"/>
    <mergeCell ref="B57:B58"/>
    <mergeCell ref="C57:C58"/>
    <mergeCell ref="B59:B60"/>
    <mergeCell ref="C59:C60"/>
    <mergeCell ref="B61:B62"/>
    <mergeCell ref="C61:C62"/>
    <mergeCell ref="B63:B64"/>
    <mergeCell ref="C63:C64"/>
    <mergeCell ref="B45:F45"/>
    <mergeCell ref="B47:B48"/>
    <mergeCell ref="C47:C48"/>
    <mergeCell ref="B49:B50"/>
    <mergeCell ref="C49:C50"/>
    <mergeCell ref="B51:B52"/>
    <mergeCell ref="C51:C52"/>
    <mergeCell ref="B53:B54"/>
    <mergeCell ref="C53:C54"/>
    <mergeCell ref="C65:C66"/>
    <mergeCell ref="B67:B68"/>
    <mergeCell ref="C67:C68"/>
    <mergeCell ref="B69:B70"/>
    <mergeCell ref="C69:C70"/>
    <mergeCell ref="B71:B72"/>
    <mergeCell ref="C71:C72"/>
    <mergeCell ref="B83:B84"/>
    <mergeCell ref="D83:D84"/>
    <mergeCell ref="B65:B66"/>
    <mergeCell ref="E83:E84"/>
    <mergeCell ref="F83:F84"/>
    <mergeCell ref="B73:B74"/>
    <mergeCell ref="C73:C74"/>
    <mergeCell ref="B75:B76"/>
    <mergeCell ref="C75:C76"/>
    <mergeCell ref="B77:B78"/>
    <mergeCell ref="C77:C78"/>
    <mergeCell ref="B79:B80"/>
    <mergeCell ref="C79:C80"/>
    <mergeCell ref="B81:B82"/>
    <mergeCell ref="C81:C82"/>
    <mergeCell ref="B89:G90"/>
    <mergeCell ref="B94:B95"/>
    <mergeCell ref="C94:C95"/>
    <mergeCell ref="B96:B97"/>
    <mergeCell ref="C96:C97"/>
    <mergeCell ref="B98:B99"/>
    <mergeCell ref="C98:C99"/>
    <mergeCell ref="I128:I129"/>
    <mergeCell ref="I126:I127"/>
    <mergeCell ref="B92:B93"/>
    <mergeCell ref="C92:C93"/>
    <mergeCell ref="B100:B101"/>
    <mergeCell ref="C100:C101"/>
    <mergeCell ref="B102:B103"/>
    <mergeCell ref="C102:C103"/>
    <mergeCell ref="B104:B105"/>
    <mergeCell ref="C104:C105"/>
    <mergeCell ref="B106:B107"/>
    <mergeCell ref="C106:C107"/>
    <mergeCell ref="B108:B109"/>
    <mergeCell ref="C108:C109"/>
    <mergeCell ref="B110:B111"/>
    <mergeCell ref="C110:C111"/>
    <mergeCell ref="B112:B113"/>
    <mergeCell ref="B124:B125"/>
    <mergeCell ref="C124:C125"/>
    <mergeCell ref="B126:B127"/>
    <mergeCell ref="C126:C127"/>
    <mergeCell ref="B128:B129"/>
    <mergeCell ref="I100:I101"/>
    <mergeCell ref="J100:J101"/>
    <mergeCell ref="I122:I123"/>
    <mergeCell ref="J122:J123"/>
    <mergeCell ref="I124:I125"/>
    <mergeCell ref="J124:J125"/>
    <mergeCell ref="D128:D129"/>
    <mergeCell ref="E128:E129"/>
    <mergeCell ref="G128:G129"/>
    <mergeCell ref="J126:J127"/>
    <mergeCell ref="I102:I103"/>
    <mergeCell ref="J102:J103"/>
    <mergeCell ref="I104:I105"/>
    <mergeCell ref="J104:J105"/>
    <mergeCell ref="I106:I107"/>
    <mergeCell ref="J106:J107"/>
    <mergeCell ref="I108:I109"/>
    <mergeCell ref="C112:C113"/>
    <mergeCell ref="B114:B115"/>
    <mergeCell ref="R92:R93"/>
    <mergeCell ref="S92:S93"/>
    <mergeCell ref="R94:R95"/>
    <mergeCell ref="S94:S95"/>
    <mergeCell ref="R96:R97"/>
    <mergeCell ref="S96:S97"/>
    <mergeCell ref="R98:R99"/>
    <mergeCell ref="S98:S99"/>
    <mergeCell ref="B122:B123"/>
    <mergeCell ref="C122:C123"/>
    <mergeCell ref="C114:C115"/>
    <mergeCell ref="B116:B117"/>
    <mergeCell ref="C116:C117"/>
    <mergeCell ref="B118:B119"/>
    <mergeCell ref="C118:C119"/>
    <mergeCell ref="B120:B121"/>
    <mergeCell ref="C120:C121"/>
    <mergeCell ref="R122:R123"/>
    <mergeCell ref="S122:S123"/>
    <mergeCell ref="S40:S41"/>
    <mergeCell ref="R42:R43"/>
    <mergeCell ref="J84:J85"/>
    <mergeCell ref="S42:S43"/>
    <mergeCell ref="R44:R45"/>
    <mergeCell ref="S44:S45"/>
    <mergeCell ref="J108:J109"/>
    <mergeCell ref="I110:I111"/>
    <mergeCell ref="J110:J111"/>
    <mergeCell ref="I89:N90"/>
    <mergeCell ref="K84:K85"/>
    <mergeCell ref="M84:M85"/>
    <mergeCell ref="H45:M46"/>
    <mergeCell ref="H76:H77"/>
    <mergeCell ref="I94:I95"/>
    <mergeCell ref="J94:J95"/>
    <mergeCell ref="I96:I97"/>
    <mergeCell ref="J96:J97"/>
    <mergeCell ref="I98:I99"/>
    <mergeCell ref="J98:J99"/>
    <mergeCell ref="R88:R89"/>
    <mergeCell ref="S88:S89"/>
    <mergeCell ref="R90:R91"/>
    <mergeCell ref="S90:S91"/>
    <mergeCell ref="N128:N129"/>
    <mergeCell ref="I112:I113"/>
    <mergeCell ref="J112:J113"/>
    <mergeCell ref="I114:I115"/>
    <mergeCell ref="J114:J115"/>
    <mergeCell ref="I116:I117"/>
    <mergeCell ref="J116:J117"/>
    <mergeCell ref="I118:I119"/>
    <mergeCell ref="J118:J119"/>
    <mergeCell ref="I120:I121"/>
    <mergeCell ref="J120:J121"/>
    <mergeCell ref="L128:L129"/>
    <mergeCell ref="K128:K129"/>
  </mergeCells>
  <phoneticPr fontId="6" type="noConversion"/>
  <pageMargins left="0.7" right="0.7" top="0.75" bottom="0.75" header="0.3" footer="0.3"/>
  <pageSetup paperSize="9" orientation="portrait" horizontalDpi="4294967293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569C8-FC92-4A9C-8FBF-EFB0FD536FB6}">
  <dimension ref="C1:AB44"/>
  <sheetViews>
    <sheetView rightToLeft="1" topLeftCell="N1" workbookViewId="0">
      <selection activeCell="G31" sqref="G31"/>
    </sheetView>
  </sheetViews>
  <sheetFormatPr defaultColWidth="11.42578125" defaultRowHeight="15" x14ac:dyDescent="0.25"/>
  <cols>
    <col min="2" max="2" width="10" customWidth="1"/>
    <col min="3" max="3" width="21" customWidth="1"/>
    <col min="4" max="4" width="18.7109375" customWidth="1"/>
    <col min="5" max="5" width="20.7109375" customWidth="1"/>
    <col min="6" max="6" width="22.42578125" customWidth="1"/>
    <col min="7" max="7" width="20.140625" customWidth="1"/>
    <col min="10" max="10" width="22.85546875" customWidth="1"/>
    <col min="11" max="11" width="16.7109375" customWidth="1"/>
    <col min="12" max="12" width="17.85546875" customWidth="1"/>
    <col min="13" max="13" width="21.42578125" customWidth="1"/>
    <col min="14" max="14" width="18.7109375" bestFit="1" customWidth="1"/>
    <col min="17" max="17" width="21.5703125" customWidth="1"/>
    <col min="18" max="18" width="16.85546875" bestFit="1" customWidth="1"/>
    <col min="19" max="19" width="17" customWidth="1"/>
    <col min="20" max="20" width="17.7109375" customWidth="1"/>
    <col min="21" max="21" width="22.42578125" customWidth="1"/>
    <col min="24" max="24" width="22.28515625" customWidth="1"/>
    <col min="25" max="25" width="20.7109375" customWidth="1"/>
    <col min="26" max="26" width="23.140625" customWidth="1"/>
    <col min="27" max="27" width="17.42578125" customWidth="1"/>
    <col min="28" max="28" width="17.140625" customWidth="1"/>
  </cols>
  <sheetData>
    <row r="1" spans="3:28" x14ac:dyDescent="0.25">
      <c r="G1" s="310" t="s">
        <v>703</v>
      </c>
      <c r="H1" s="311"/>
      <c r="I1" s="311"/>
      <c r="J1" s="311"/>
      <c r="K1" s="311"/>
      <c r="L1" s="311"/>
      <c r="M1" s="311"/>
    </row>
    <row r="2" spans="3:28" x14ac:dyDescent="0.25">
      <c r="G2" s="311"/>
      <c r="H2" s="311"/>
      <c r="I2" s="311"/>
      <c r="J2" s="311"/>
      <c r="K2" s="311"/>
      <c r="L2" s="311"/>
      <c r="M2" s="311"/>
    </row>
    <row r="4" spans="3:28" ht="15" customHeight="1" x14ac:dyDescent="0.25">
      <c r="C4" s="292" t="s">
        <v>701</v>
      </c>
      <c r="D4" s="292"/>
      <c r="E4" s="292"/>
      <c r="F4" s="292"/>
      <c r="G4" s="292"/>
      <c r="H4" s="312" t="s">
        <v>695</v>
      </c>
      <c r="I4" s="313"/>
      <c r="O4" s="308" t="s">
        <v>696</v>
      </c>
      <c r="P4" s="309"/>
      <c r="V4" s="308" t="s">
        <v>1252</v>
      </c>
      <c r="W4" s="309"/>
    </row>
    <row r="5" spans="3:28" ht="30.75" customHeight="1" x14ac:dyDescent="0.25">
      <c r="C5" s="293"/>
      <c r="D5" s="293"/>
      <c r="E5" s="293"/>
      <c r="F5" s="293"/>
      <c r="G5" s="293"/>
      <c r="H5" s="313"/>
      <c r="I5" s="313"/>
      <c r="O5" s="309"/>
      <c r="P5" s="309"/>
      <c r="V5" s="309"/>
      <c r="W5" s="309"/>
    </row>
    <row r="6" spans="3:28" ht="24.75" customHeight="1" x14ac:dyDescent="0.25">
      <c r="C6" s="17" t="s">
        <v>144</v>
      </c>
      <c r="D6" s="17" t="s">
        <v>275</v>
      </c>
      <c r="E6" s="17" t="s">
        <v>145</v>
      </c>
      <c r="F6" s="17" t="s">
        <v>146</v>
      </c>
      <c r="G6" s="17" t="s">
        <v>147</v>
      </c>
      <c r="H6" s="313"/>
      <c r="I6" s="313"/>
      <c r="J6" s="17" t="s">
        <v>144</v>
      </c>
      <c r="K6" s="17" t="s">
        <v>275</v>
      </c>
      <c r="L6" s="17" t="s">
        <v>145</v>
      </c>
      <c r="M6" s="17" t="s">
        <v>146</v>
      </c>
      <c r="N6" s="17" t="s">
        <v>147</v>
      </c>
      <c r="O6" s="309"/>
      <c r="P6" s="309"/>
      <c r="Q6" s="88" t="s">
        <v>144</v>
      </c>
      <c r="R6" s="88" t="s">
        <v>275</v>
      </c>
      <c r="S6" s="88" t="s">
        <v>145</v>
      </c>
      <c r="T6" s="88" t="s">
        <v>146</v>
      </c>
      <c r="U6" s="88" t="s">
        <v>147</v>
      </c>
      <c r="V6" s="309"/>
      <c r="W6" s="309"/>
      <c r="X6" s="88" t="s">
        <v>144</v>
      </c>
      <c r="Y6" s="88" t="s">
        <v>275</v>
      </c>
      <c r="Z6" s="88" t="s">
        <v>145</v>
      </c>
      <c r="AA6" s="88" t="s">
        <v>146</v>
      </c>
      <c r="AB6" s="88" t="s">
        <v>147</v>
      </c>
    </row>
    <row r="7" spans="3:28" ht="18.75" x14ac:dyDescent="0.25">
      <c r="C7" s="150" t="s">
        <v>281</v>
      </c>
      <c r="D7" s="150" t="s">
        <v>282</v>
      </c>
      <c r="E7" s="34"/>
      <c r="F7" s="29">
        <v>500</v>
      </c>
      <c r="G7" s="31">
        <v>2000</v>
      </c>
      <c r="H7" s="313"/>
      <c r="I7" s="313"/>
      <c r="J7" s="150" t="s">
        <v>281</v>
      </c>
      <c r="K7" s="150" t="s">
        <v>282</v>
      </c>
      <c r="L7" s="65"/>
      <c r="M7" s="66"/>
      <c r="N7" s="67"/>
      <c r="O7" s="309"/>
      <c r="P7" s="309"/>
      <c r="Q7" s="250"/>
      <c r="R7" s="250"/>
      <c r="S7" s="65"/>
      <c r="T7" s="65"/>
      <c r="U7" s="65"/>
      <c r="V7" s="309"/>
      <c r="W7" s="309"/>
      <c r="X7" s="142" t="s">
        <v>1253</v>
      </c>
      <c r="Y7" s="142" t="s">
        <v>1254</v>
      </c>
      <c r="Z7" s="66">
        <v>300</v>
      </c>
      <c r="AA7" s="66"/>
      <c r="AB7" s="66"/>
    </row>
    <row r="8" spans="3:28" ht="18.75" x14ac:dyDescent="0.25">
      <c r="C8" s="151"/>
      <c r="D8" s="151"/>
      <c r="E8" s="35"/>
      <c r="F8" s="30" t="s">
        <v>283</v>
      </c>
      <c r="G8" s="32" t="s">
        <v>283</v>
      </c>
      <c r="H8" s="313"/>
      <c r="I8" s="313"/>
      <c r="J8" s="151"/>
      <c r="K8" s="151"/>
      <c r="L8" s="5"/>
      <c r="M8" s="30"/>
      <c r="N8" s="32"/>
      <c r="O8" s="309"/>
      <c r="P8" s="309"/>
      <c r="Q8" s="225"/>
      <c r="R8" s="225"/>
      <c r="S8" s="89"/>
      <c r="T8" s="28"/>
      <c r="U8" s="28"/>
      <c r="V8" s="309"/>
      <c r="W8" s="309"/>
      <c r="X8" s="143"/>
      <c r="Y8" s="143"/>
      <c r="Z8" s="30" t="s">
        <v>1255</v>
      </c>
      <c r="AA8" s="30"/>
      <c r="AB8" s="30"/>
    </row>
    <row r="9" spans="3:28" ht="18.75" x14ac:dyDescent="0.25">
      <c r="C9" s="150" t="s">
        <v>288</v>
      </c>
      <c r="D9" s="150" t="s">
        <v>341</v>
      </c>
      <c r="E9" s="34"/>
      <c r="F9" s="29">
        <v>500</v>
      </c>
      <c r="G9" s="31">
        <v>2000</v>
      </c>
      <c r="H9" s="313"/>
      <c r="I9" s="313"/>
      <c r="J9" s="150" t="s">
        <v>288</v>
      </c>
      <c r="K9" s="150" t="s">
        <v>341</v>
      </c>
      <c r="L9" s="65"/>
      <c r="M9" s="66"/>
      <c r="N9" s="67"/>
      <c r="O9" s="309"/>
      <c r="P9" s="309"/>
      <c r="Q9" s="250"/>
      <c r="R9" s="250"/>
      <c r="S9" s="65"/>
      <c r="T9" s="65"/>
      <c r="U9" s="65"/>
      <c r="V9" s="309"/>
      <c r="W9" s="309"/>
      <c r="X9" s="142" t="s">
        <v>1256</v>
      </c>
      <c r="Y9" s="142" t="s">
        <v>1257</v>
      </c>
      <c r="Z9" s="66">
        <v>300</v>
      </c>
      <c r="AA9" s="66"/>
      <c r="AB9" s="66"/>
    </row>
    <row r="10" spans="3:28" ht="18.75" x14ac:dyDescent="0.25">
      <c r="C10" s="151"/>
      <c r="D10" s="151"/>
      <c r="E10" s="35"/>
      <c r="F10" s="30" t="s">
        <v>289</v>
      </c>
      <c r="G10" s="32" t="s">
        <v>289</v>
      </c>
      <c r="H10" s="313"/>
      <c r="I10" s="313"/>
      <c r="J10" s="151"/>
      <c r="K10" s="151"/>
      <c r="L10" s="5"/>
      <c r="M10" s="30"/>
      <c r="N10" s="32"/>
      <c r="O10" s="309"/>
      <c r="P10" s="309"/>
      <c r="Q10" s="225"/>
      <c r="R10" s="225"/>
      <c r="S10" s="89"/>
      <c r="T10" s="28"/>
      <c r="U10" s="28"/>
      <c r="V10" s="309"/>
      <c r="W10" s="309"/>
      <c r="X10" s="143"/>
      <c r="Y10" s="143"/>
      <c r="Z10" s="30" t="s">
        <v>1258</v>
      </c>
      <c r="AA10" s="30"/>
      <c r="AB10" s="30"/>
    </row>
    <row r="11" spans="3:28" ht="18.75" x14ac:dyDescent="0.25">
      <c r="C11" s="150" t="s">
        <v>292</v>
      </c>
      <c r="D11" s="150" t="s">
        <v>293</v>
      </c>
      <c r="E11" s="34"/>
      <c r="F11" s="29">
        <v>500</v>
      </c>
      <c r="G11" s="31">
        <v>2000</v>
      </c>
      <c r="H11" s="313"/>
      <c r="I11" s="313"/>
      <c r="J11" s="150" t="s">
        <v>292</v>
      </c>
      <c r="K11" s="150" t="s">
        <v>293</v>
      </c>
      <c r="L11" s="65"/>
      <c r="M11" s="66"/>
      <c r="N11" s="67"/>
      <c r="O11" s="309"/>
      <c r="P11" s="309"/>
      <c r="Q11" s="250"/>
      <c r="R11" s="250"/>
      <c r="S11" s="65"/>
      <c r="T11" s="65"/>
      <c r="U11" s="65"/>
      <c r="V11" s="309"/>
      <c r="W11" s="309"/>
      <c r="X11" s="142" t="s">
        <v>1259</v>
      </c>
      <c r="Y11" s="142" t="s">
        <v>1260</v>
      </c>
      <c r="Z11" s="66">
        <v>300</v>
      </c>
      <c r="AA11" s="66"/>
      <c r="AB11" s="66"/>
    </row>
    <row r="12" spans="3:28" ht="18.75" x14ac:dyDescent="0.25">
      <c r="C12" s="151"/>
      <c r="D12" s="151"/>
      <c r="E12" s="35"/>
      <c r="F12" s="30" t="s">
        <v>294</v>
      </c>
      <c r="G12" s="32" t="s">
        <v>294</v>
      </c>
      <c r="H12" s="313"/>
      <c r="I12" s="313"/>
      <c r="J12" s="151"/>
      <c r="K12" s="151"/>
      <c r="L12" s="5"/>
      <c r="M12" s="30"/>
      <c r="N12" s="32"/>
      <c r="O12" s="309"/>
      <c r="P12" s="309"/>
      <c r="Q12" s="225"/>
      <c r="R12" s="225"/>
      <c r="S12" s="89"/>
      <c r="T12" s="28"/>
      <c r="U12" s="28"/>
      <c r="V12" s="309"/>
      <c r="W12" s="309"/>
      <c r="X12" s="143"/>
      <c r="Y12" s="143"/>
      <c r="Z12" s="30" t="s">
        <v>1261</v>
      </c>
      <c r="AA12" s="30"/>
      <c r="AB12" s="30"/>
    </row>
    <row r="13" spans="3:28" ht="18.75" x14ac:dyDescent="0.25">
      <c r="C13" s="150" t="s">
        <v>298</v>
      </c>
      <c r="D13" s="150" t="s">
        <v>299</v>
      </c>
      <c r="E13" s="34"/>
      <c r="F13" s="29">
        <v>500</v>
      </c>
      <c r="G13" s="31">
        <v>2000</v>
      </c>
      <c r="H13" s="313"/>
      <c r="I13" s="313"/>
      <c r="J13" s="150" t="s">
        <v>298</v>
      </c>
      <c r="K13" s="150" t="s">
        <v>299</v>
      </c>
      <c r="L13" s="65"/>
      <c r="M13" s="66"/>
      <c r="N13" s="67"/>
      <c r="O13" s="309"/>
      <c r="P13" s="309"/>
      <c r="Q13" s="250"/>
      <c r="R13" s="250"/>
      <c r="S13" s="65"/>
      <c r="T13" s="65"/>
      <c r="U13" s="65"/>
      <c r="V13" s="309"/>
      <c r="W13" s="309"/>
      <c r="X13" s="142"/>
      <c r="Y13" s="142"/>
      <c r="Z13" s="66"/>
      <c r="AA13" s="66"/>
      <c r="AB13" s="66"/>
    </row>
    <row r="14" spans="3:28" ht="18.75" x14ac:dyDescent="0.25">
      <c r="C14" s="151"/>
      <c r="D14" s="151"/>
      <c r="E14" s="36"/>
      <c r="F14" s="30" t="s">
        <v>300</v>
      </c>
      <c r="G14" s="32" t="s">
        <v>300</v>
      </c>
      <c r="H14" s="313"/>
      <c r="I14" s="313"/>
      <c r="J14" s="151"/>
      <c r="K14" s="151"/>
      <c r="L14" s="6"/>
      <c r="M14" s="30"/>
      <c r="N14" s="32"/>
      <c r="O14" s="309"/>
      <c r="P14" s="309"/>
      <c r="Q14" s="225"/>
      <c r="R14" s="225"/>
      <c r="S14" s="89"/>
      <c r="T14" s="28"/>
      <c r="U14" s="28"/>
      <c r="V14" s="309"/>
      <c r="W14" s="309"/>
      <c r="X14" s="143"/>
      <c r="Y14" s="143"/>
      <c r="Z14" s="30"/>
      <c r="AA14" s="30"/>
      <c r="AB14" s="30"/>
    </row>
    <row r="15" spans="3:28" ht="18.75" x14ac:dyDescent="0.25">
      <c r="C15" s="150" t="s">
        <v>308</v>
      </c>
      <c r="D15" s="150" t="s">
        <v>306</v>
      </c>
      <c r="E15" s="34"/>
      <c r="F15" s="29">
        <v>500</v>
      </c>
      <c r="G15" s="31">
        <v>2000</v>
      </c>
      <c r="H15" s="313"/>
      <c r="I15" s="313"/>
      <c r="J15" s="150" t="s">
        <v>308</v>
      </c>
      <c r="K15" s="150" t="s">
        <v>306</v>
      </c>
      <c r="L15" s="65"/>
      <c r="M15" s="66"/>
      <c r="N15" s="67"/>
      <c r="O15" s="309"/>
      <c r="P15" s="309"/>
      <c r="Q15" s="250"/>
      <c r="R15" s="250"/>
      <c r="S15" s="65"/>
      <c r="T15" s="65"/>
      <c r="U15" s="65"/>
      <c r="V15" s="309"/>
      <c r="W15" s="309"/>
      <c r="X15" s="142"/>
      <c r="Y15" s="142"/>
      <c r="Z15" s="66"/>
      <c r="AA15" s="66"/>
      <c r="AB15" s="66"/>
    </row>
    <row r="16" spans="3:28" ht="18.75" x14ac:dyDescent="0.25">
      <c r="C16" s="151"/>
      <c r="D16" s="151"/>
      <c r="E16" s="36"/>
      <c r="F16" s="30" t="s">
        <v>309</v>
      </c>
      <c r="G16" s="32" t="s">
        <v>309</v>
      </c>
      <c r="H16" s="313"/>
      <c r="I16" s="313"/>
      <c r="J16" s="151"/>
      <c r="K16" s="151"/>
      <c r="L16" s="6"/>
      <c r="M16" s="30"/>
      <c r="N16" s="32"/>
      <c r="O16" s="309"/>
      <c r="P16" s="309"/>
      <c r="Q16" s="225"/>
      <c r="R16" s="225"/>
      <c r="S16" s="89"/>
      <c r="T16" s="28"/>
      <c r="U16" s="28"/>
      <c r="V16" s="309"/>
      <c r="W16" s="309"/>
      <c r="X16" s="143"/>
      <c r="Y16" s="143"/>
      <c r="Z16" s="30"/>
      <c r="AA16" s="30"/>
      <c r="AB16" s="30"/>
    </row>
    <row r="17" spans="3:28" ht="18.75" x14ac:dyDescent="0.25">
      <c r="C17" s="150" t="s">
        <v>310</v>
      </c>
      <c r="D17" s="150" t="s">
        <v>311</v>
      </c>
      <c r="E17" s="34"/>
      <c r="F17" s="29">
        <v>500</v>
      </c>
      <c r="G17" s="31">
        <v>2000</v>
      </c>
      <c r="H17" s="313"/>
      <c r="I17" s="313"/>
      <c r="J17" s="150" t="s">
        <v>310</v>
      </c>
      <c r="K17" s="150" t="s">
        <v>311</v>
      </c>
      <c r="L17" s="65"/>
      <c r="M17" s="66"/>
      <c r="N17" s="67"/>
      <c r="O17" s="309"/>
      <c r="P17" s="309"/>
      <c r="Q17" s="250"/>
      <c r="R17" s="250"/>
      <c r="S17" s="65"/>
      <c r="T17" s="65"/>
      <c r="U17" s="65"/>
      <c r="V17" s="309"/>
      <c r="W17" s="309"/>
      <c r="X17" s="142"/>
      <c r="Y17" s="142"/>
      <c r="Z17" s="66"/>
      <c r="AA17" s="66"/>
      <c r="AB17" s="66"/>
    </row>
    <row r="18" spans="3:28" ht="18.75" x14ac:dyDescent="0.25">
      <c r="C18" s="151"/>
      <c r="D18" s="151"/>
      <c r="E18" s="35"/>
      <c r="F18" s="30" t="s">
        <v>248</v>
      </c>
      <c r="G18" s="32" t="s">
        <v>248</v>
      </c>
      <c r="H18" s="313"/>
      <c r="I18" s="313"/>
      <c r="J18" s="151"/>
      <c r="K18" s="151"/>
      <c r="L18" s="5"/>
      <c r="M18" s="30"/>
      <c r="N18" s="32"/>
      <c r="O18" s="309"/>
      <c r="P18" s="309"/>
      <c r="Q18" s="225"/>
      <c r="R18" s="225"/>
      <c r="S18" s="89"/>
      <c r="T18" s="28"/>
      <c r="U18" s="28"/>
      <c r="V18" s="309"/>
      <c r="W18" s="309"/>
      <c r="X18" s="143"/>
      <c r="Y18" s="143"/>
      <c r="Z18" s="30"/>
      <c r="AA18" s="30"/>
      <c r="AB18" s="30"/>
    </row>
    <row r="19" spans="3:28" ht="18.75" x14ac:dyDescent="0.25">
      <c r="C19" s="150" t="s">
        <v>318</v>
      </c>
      <c r="D19" s="150" t="s">
        <v>345</v>
      </c>
      <c r="E19" s="34"/>
      <c r="F19" s="29">
        <v>500</v>
      </c>
      <c r="G19" s="31">
        <v>2000</v>
      </c>
      <c r="H19" s="313"/>
      <c r="I19" s="313"/>
      <c r="J19" s="150" t="s">
        <v>318</v>
      </c>
      <c r="K19" s="150" t="s">
        <v>345</v>
      </c>
      <c r="L19" s="65"/>
      <c r="M19" s="66"/>
      <c r="N19" s="67"/>
      <c r="O19" s="309"/>
      <c r="P19" s="309"/>
      <c r="Q19" s="250"/>
      <c r="R19" s="250"/>
      <c r="S19" s="65"/>
      <c r="T19" s="65"/>
      <c r="U19" s="65"/>
      <c r="V19" s="309"/>
      <c r="W19" s="309"/>
      <c r="X19" s="142"/>
      <c r="Y19" s="142"/>
      <c r="Z19" s="66"/>
      <c r="AA19" s="66"/>
      <c r="AB19" s="66"/>
    </row>
    <row r="20" spans="3:28" ht="18.75" x14ac:dyDescent="0.25">
      <c r="C20" s="151"/>
      <c r="D20" s="151"/>
      <c r="E20" s="35"/>
      <c r="F20" s="30" t="s">
        <v>319</v>
      </c>
      <c r="G20" s="32" t="s">
        <v>319</v>
      </c>
      <c r="H20" s="313"/>
      <c r="I20" s="313"/>
      <c r="J20" s="151"/>
      <c r="K20" s="151"/>
      <c r="L20" s="5"/>
      <c r="M20" s="30"/>
      <c r="N20" s="32"/>
      <c r="O20" s="309"/>
      <c r="P20" s="309"/>
      <c r="Q20" s="225"/>
      <c r="R20" s="225"/>
      <c r="S20" s="89"/>
      <c r="T20" s="28"/>
      <c r="U20" s="28"/>
      <c r="V20" s="309"/>
      <c r="W20" s="309"/>
      <c r="X20" s="143"/>
      <c r="Y20" s="143"/>
      <c r="Z20" s="30"/>
      <c r="AA20" s="30"/>
      <c r="AB20" s="30"/>
    </row>
    <row r="21" spans="3:28" ht="18.75" x14ac:dyDescent="0.25">
      <c r="C21" s="314" t="s">
        <v>702</v>
      </c>
      <c r="D21" s="315"/>
      <c r="E21" s="315"/>
      <c r="F21" s="315"/>
      <c r="G21" s="316"/>
      <c r="H21" s="313"/>
      <c r="I21" s="313"/>
      <c r="J21" s="150" t="s">
        <v>697</v>
      </c>
      <c r="K21" s="150" t="s">
        <v>699</v>
      </c>
      <c r="L21" s="65"/>
      <c r="M21" s="65"/>
      <c r="N21" s="67"/>
      <c r="O21" s="309"/>
      <c r="P21" s="309"/>
      <c r="Q21" s="250"/>
      <c r="R21" s="250"/>
      <c r="S21" s="65"/>
      <c r="T21" s="65"/>
      <c r="U21" s="65"/>
      <c r="V21" s="309"/>
      <c r="W21" s="309"/>
      <c r="X21" s="142"/>
      <c r="Y21" s="142"/>
      <c r="Z21" s="66"/>
      <c r="AA21" s="66"/>
      <c r="AB21" s="66"/>
    </row>
    <row r="22" spans="3:28" ht="18.75" x14ac:dyDescent="0.25">
      <c r="C22" s="317"/>
      <c r="D22" s="318"/>
      <c r="E22" s="318"/>
      <c r="F22" s="318"/>
      <c r="G22" s="319"/>
      <c r="H22" s="313"/>
      <c r="I22" s="313"/>
      <c r="J22" s="151"/>
      <c r="K22" s="151"/>
      <c r="L22" s="5"/>
      <c r="M22" s="5"/>
      <c r="N22" s="5"/>
      <c r="O22" s="309"/>
      <c r="P22" s="309"/>
      <c r="Q22" s="225"/>
      <c r="R22" s="225"/>
      <c r="S22" s="89"/>
      <c r="T22" s="89"/>
      <c r="U22" s="89"/>
      <c r="V22" s="309"/>
      <c r="W22" s="309"/>
      <c r="X22" s="143"/>
      <c r="Y22" s="143"/>
      <c r="Z22" s="30"/>
      <c r="AA22" s="30"/>
      <c r="AB22" s="30"/>
    </row>
    <row r="23" spans="3:28" ht="18.75" x14ac:dyDescent="0.25">
      <c r="C23" s="150" t="s">
        <v>1262</v>
      </c>
      <c r="D23" s="150" t="s">
        <v>1263</v>
      </c>
      <c r="E23" s="29">
        <v>300</v>
      </c>
      <c r="F23" s="4">
        <v>500</v>
      </c>
      <c r="G23" s="4">
        <v>4000</v>
      </c>
      <c r="H23" s="313"/>
      <c r="I23" s="313"/>
      <c r="J23" s="150" t="s">
        <v>698</v>
      </c>
      <c r="K23" s="150" t="s">
        <v>700</v>
      </c>
      <c r="L23" s="4"/>
      <c r="M23" s="4"/>
      <c r="N23" s="4"/>
      <c r="O23" s="309"/>
      <c r="P23" s="309"/>
      <c r="Q23" s="250"/>
      <c r="R23" s="250"/>
      <c r="S23" s="4"/>
      <c r="T23" s="4"/>
      <c r="U23" s="4"/>
      <c r="V23" s="309"/>
      <c r="W23" s="309"/>
      <c r="X23" s="142"/>
      <c r="Y23" s="142"/>
      <c r="Z23" s="29"/>
      <c r="AA23" s="29"/>
      <c r="AB23" s="29"/>
    </row>
    <row r="24" spans="3:28" ht="18.75" x14ac:dyDescent="0.25">
      <c r="C24" s="151"/>
      <c r="D24" s="151"/>
      <c r="E24" s="30" t="s">
        <v>1264</v>
      </c>
      <c r="F24" s="30" t="s">
        <v>1264</v>
      </c>
      <c r="G24" s="30" t="s">
        <v>1264</v>
      </c>
      <c r="H24" s="313"/>
      <c r="I24" s="313"/>
      <c r="J24" s="151"/>
      <c r="K24" s="151"/>
      <c r="L24" s="5"/>
      <c r="M24" s="5"/>
      <c r="N24" s="5"/>
      <c r="O24" s="309"/>
      <c r="P24" s="309"/>
      <c r="Q24" s="225"/>
      <c r="R24" s="225"/>
      <c r="S24" s="89"/>
      <c r="T24" s="89"/>
      <c r="U24" s="89"/>
      <c r="V24" s="309"/>
      <c r="W24" s="309"/>
      <c r="X24" s="143"/>
      <c r="Y24" s="143"/>
      <c r="Z24" s="30"/>
      <c r="AA24" s="30"/>
      <c r="AB24" s="30"/>
    </row>
    <row r="25" spans="3:28" ht="18.75" x14ac:dyDescent="0.25">
      <c r="C25" s="150" t="s">
        <v>1265</v>
      </c>
      <c r="D25" s="150" t="s">
        <v>1266</v>
      </c>
      <c r="E25" s="29">
        <v>300</v>
      </c>
      <c r="F25" s="4">
        <v>500</v>
      </c>
      <c r="G25" s="4">
        <v>4000</v>
      </c>
      <c r="H25" s="313"/>
      <c r="I25" s="313"/>
      <c r="J25" s="150"/>
      <c r="K25" s="150"/>
      <c r="L25" s="4"/>
      <c r="M25" s="4"/>
      <c r="N25" s="4"/>
      <c r="O25" s="309"/>
      <c r="P25" s="309"/>
      <c r="Q25" s="250"/>
      <c r="R25" s="250"/>
      <c r="S25" s="4"/>
      <c r="T25" s="4"/>
      <c r="U25" s="4"/>
      <c r="V25" s="309"/>
      <c r="W25" s="309"/>
      <c r="X25" s="142"/>
      <c r="Y25" s="142"/>
      <c r="Z25" s="29"/>
      <c r="AA25" s="29"/>
      <c r="AB25" s="29"/>
    </row>
    <row r="26" spans="3:28" ht="18.75" x14ac:dyDescent="0.25">
      <c r="C26" s="151"/>
      <c r="D26" s="151"/>
      <c r="E26" s="30" t="s">
        <v>1267</v>
      </c>
      <c r="F26" s="30" t="s">
        <v>1280</v>
      </c>
      <c r="G26" s="30" t="s">
        <v>1280</v>
      </c>
      <c r="H26" s="313"/>
      <c r="I26" s="313"/>
      <c r="J26" s="151"/>
      <c r="K26" s="151"/>
      <c r="L26" s="5"/>
      <c r="M26" s="5"/>
      <c r="N26" s="5"/>
      <c r="O26" s="309"/>
      <c r="P26" s="309"/>
      <c r="Q26" s="225"/>
      <c r="R26" s="225"/>
      <c r="S26" s="89"/>
      <c r="T26" s="89"/>
      <c r="U26" s="89"/>
      <c r="V26" s="309"/>
      <c r="W26" s="309"/>
      <c r="X26" s="143"/>
      <c r="Y26" s="143"/>
      <c r="Z26" s="30"/>
      <c r="AA26" s="30"/>
      <c r="AB26" s="30"/>
    </row>
    <row r="27" spans="3:28" ht="18.75" x14ac:dyDescent="0.25">
      <c r="C27" s="150" t="s">
        <v>1268</v>
      </c>
      <c r="D27" s="150" t="s">
        <v>1269</v>
      </c>
      <c r="E27" s="4"/>
      <c r="F27" s="4">
        <v>500</v>
      </c>
      <c r="G27" s="4">
        <v>4000</v>
      </c>
      <c r="H27" s="313"/>
      <c r="I27" s="313"/>
      <c r="J27" s="150"/>
      <c r="K27" s="150"/>
      <c r="L27" s="4"/>
      <c r="M27" s="4"/>
      <c r="N27" s="4"/>
      <c r="O27" s="309"/>
      <c r="P27" s="309"/>
      <c r="Q27" s="250"/>
      <c r="R27" s="250"/>
      <c r="S27" s="4"/>
      <c r="T27" s="4"/>
      <c r="U27" s="4"/>
      <c r="V27" s="309"/>
      <c r="W27" s="309"/>
      <c r="X27" s="142"/>
      <c r="Y27" s="142"/>
      <c r="Z27" s="29"/>
      <c r="AA27" s="29"/>
      <c r="AB27" s="29"/>
    </row>
    <row r="28" spans="3:28" ht="18.75" x14ac:dyDescent="0.25">
      <c r="C28" s="151"/>
      <c r="D28" s="151"/>
      <c r="E28" s="5"/>
      <c r="F28" s="30" t="s">
        <v>1270</v>
      </c>
      <c r="G28" s="30" t="s">
        <v>1270</v>
      </c>
      <c r="H28" s="313"/>
      <c r="I28" s="313"/>
      <c r="J28" s="151"/>
      <c r="K28" s="151"/>
      <c r="L28" s="5"/>
      <c r="M28" s="5"/>
      <c r="N28" s="5"/>
      <c r="O28" s="309"/>
      <c r="P28" s="309"/>
      <c r="Q28" s="225"/>
      <c r="R28" s="225"/>
      <c r="S28" s="89"/>
      <c r="T28" s="89"/>
      <c r="U28" s="89"/>
      <c r="V28" s="309"/>
      <c r="W28" s="309"/>
      <c r="X28" s="143"/>
      <c r="Y28" s="143"/>
      <c r="Z28" s="30"/>
      <c r="AA28" s="30"/>
      <c r="AB28" s="30"/>
    </row>
    <row r="29" spans="3:28" ht="18.75" x14ac:dyDescent="0.25">
      <c r="C29" s="150" t="s">
        <v>1271</v>
      </c>
      <c r="D29" s="150" t="s">
        <v>1272</v>
      </c>
      <c r="E29" s="4">
        <v>300</v>
      </c>
      <c r="F29" s="4">
        <v>500</v>
      </c>
      <c r="G29" s="4">
        <v>4000</v>
      </c>
      <c r="H29" s="313"/>
      <c r="I29" s="313"/>
      <c r="J29" s="150"/>
      <c r="K29" s="150"/>
      <c r="L29" s="4"/>
      <c r="M29" s="4"/>
      <c r="N29" s="4"/>
      <c r="O29" s="309"/>
      <c r="P29" s="309"/>
      <c r="Q29" s="250"/>
      <c r="R29" s="250"/>
      <c r="S29" s="4"/>
      <c r="T29" s="4"/>
      <c r="U29" s="4"/>
      <c r="V29" s="309"/>
      <c r="W29" s="309"/>
      <c r="X29" s="142"/>
      <c r="Y29" s="142"/>
      <c r="Z29" s="29"/>
      <c r="AA29" s="29"/>
      <c r="AB29" s="29"/>
    </row>
    <row r="30" spans="3:28" ht="18.75" x14ac:dyDescent="0.25">
      <c r="C30" s="151"/>
      <c r="D30" s="151"/>
      <c r="E30" s="6" t="s">
        <v>1273</v>
      </c>
      <c r="F30" s="6" t="s">
        <v>1273</v>
      </c>
      <c r="G30" s="6" t="s">
        <v>1273</v>
      </c>
      <c r="H30" s="313"/>
      <c r="I30" s="313"/>
      <c r="J30" s="151"/>
      <c r="K30" s="151"/>
      <c r="L30" s="6"/>
      <c r="M30" s="5"/>
      <c r="N30" s="5"/>
      <c r="O30" s="309"/>
      <c r="P30" s="309"/>
      <c r="Q30" s="225"/>
      <c r="R30" s="225"/>
      <c r="S30" s="89"/>
      <c r="T30" s="89"/>
      <c r="U30" s="89"/>
      <c r="V30" s="309"/>
      <c r="W30" s="309"/>
      <c r="X30" s="143"/>
      <c r="Y30" s="143"/>
      <c r="Z30" s="30"/>
      <c r="AA30" s="30"/>
      <c r="AB30" s="30"/>
    </row>
    <row r="31" spans="3:28" ht="18.75" x14ac:dyDescent="0.25">
      <c r="C31" s="150" t="s">
        <v>1281</v>
      </c>
      <c r="D31" s="150" t="s">
        <v>1282</v>
      </c>
      <c r="E31" s="4">
        <v>300</v>
      </c>
      <c r="F31" s="4">
        <v>500</v>
      </c>
      <c r="G31" s="4">
        <v>4000</v>
      </c>
      <c r="H31" s="313"/>
      <c r="I31" s="313"/>
      <c r="J31" s="150"/>
      <c r="K31" s="150"/>
      <c r="L31" s="4"/>
      <c r="M31" s="4"/>
      <c r="N31" s="4"/>
      <c r="O31" s="309"/>
      <c r="P31" s="309"/>
      <c r="Q31" s="250"/>
      <c r="R31" s="250"/>
      <c r="S31" s="4"/>
      <c r="T31" s="4"/>
      <c r="U31" s="4"/>
      <c r="V31" s="309"/>
      <c r="W31" s="309"/>
      <c r="X31" s="142"/>
      <c r="Y31" s="142"/>
      <c r="Z31" s="29"/>
      <c r="AA31" s="29"/>
      <c r="AB31" s="29"/>
    </row>
    <row r="32" spans="3:28" ht="18.75" x14ac:dyDescent="0.25">
      <c r="C32" s="151"/>
      <c r="D32" s="151"/>
      <c r="E32" s="6" t="s">
        <v>1283</v>
      </c>
      <c r="F32" s="6" t="s">
        <v>1283</v>
      </c>
      <c r="G32" s="6" t="s">
        <v>1283</v>
      </c>
      <c r="H32" s="313"/>
      <c r="I32" s="313"/>
      <c r="J32" s="151"/>
      <c r="K32" s="151"/>
      <c r="L32" s="6"/>
      <c r="M32" s="5"/>
      <c r="N32" s="5"/>
      <c r="O32" s="309"/>
      <c r="P32" s="309"/>
      <c r="Q32" s="225"/>
      <c r="R32" s="225"/>
      <c r="S32" s="89"/>
      <c r="T32" s="89"/>
      <c r="U32" s="89"/>
      <c r="V32" s="309"/>
      <c r="W32" s="309"/>
      <c r="X32" s="143"/>
      <c r="Y32" s="143"/>
      <c r="Z32" s="30"/>
      <c r="AA32" s="30"/>
      <c r="AB32" s="30"/>
    </row>
    <row r="33" spans="3:28" ht="18.75" x14ac:dyDescent="0.25">
      <c r="C33" s="150"/>
      <c r="D33" s="150"/>
      <c r="E33" s="4"/>
      <c r="F33" s="4"/>
      <c r="G33" s="4"/>
      <c r="H33" s="313"/>
      <c r="I33" s="313"/>
      <c r="J33" s="150"/>
      <c r="K33" s="150"/>
      <c r="L33" s="4"/>
      <c r="M33" s="4"/>
      <c r="N33" s="4"/>
      <c r="O33" s="309"/>
      <c r="P33" s="309"/>
      <c r="Q33" s="250"/>
      <c r="R33" s="250"/>
      <c r="S33" s="4"/>
      <c r="T33" s="4"/>
      <c r="U33" s="4"/>
      <c r="V33" s="309"/>
      <c r="W33" s="309"/>
      <c r="X33" s="142"/>
      <c r="Y33" s="142"/>
      <c r="Z33" s="29"/>
      <c r="AA33" s="29"/>
      <c r="AB33" s="29"/>
    </row>
    <row r="34" spans="3:28" ht="18.75" x14ac:dyDescent="0.25">
      <c r="C34" s="151"/>
      <c r="D34" s="151"/>
      <c r="E34" s="6"/>
      <c r="F34" s="5"/>
      <c r="G34" s="5"/>
      <c r="H34" s="313"/>
      <c r="I34" s="313"/>
      <c r="J34" s="151"/>
      <c r="K34" s="151"/>
      <c r="L34" s="6"/>
      <c r="M34" s="5"/>
      <c r="N34" s="5"/>
      <c r="O34" s="309"/>
      <c r="P34" s="309"/>
      <c r="Q34" s="225"/>
      <c r="R34" s="225"/>
      <c r="S34" s="89"/>
      <c r="T34" s="89"/>
      <c r="U34" s="89"/>
      <c r="V34" s="309"/>
      <c r="W34" s="309"/>
      <c r="X34" s="143"/>
      <c r="Y34" s="143"/>
      <c r="Z34" s="30"/>
      <c r="AA34" s="30"/>
      <c r="AB34" s="30"/>
    </row>
    <row r="35" spans="3:28" ht="18.75" x14ac:dyDescent="0.25">
      <c r="C35" s="150"/>
      <c r="D35" s="150"/>
      <c r="E35" s="4"/>
      <c r="F35" s="4"/>
      <c r="G35" s="4"/>
      <c r="H35" s="313"/>
      <c r="I35" s="313"/>
      <c r="J35" s="150"/>
      <c r="K35" s="150"/>
      <c r="L35" s="4"/>
      <c r="M35" s="4"/>
      <c r="N35" s="4"/>
      <c r="O35" s="309"/>
      <c r="P35" s="309"/>
      <c r="Q35" s="250"/>
      <c r="R35" s="250"/>
      <c r="S35" s="4"/>
      <c r="T35" s="4"/>
      <c r="U35" s="4"/>
      <c r="V35" s="309"/>
      <c r="W35" s="309"/>
      <c r="X35" s="142"/>
      <c r="Y35" s="142"/>
      <c r="Z35" s="29"/>
      <c r="AA35" s="29"/>
      <c r="AB35" s="29"/>
    </row>
    <row r="36" spans="3:28" ht="18.75" x14ac:dyDescent="0.25">
      <c r="C36" s="151"/>
      <c r="D36" s="151"/>
      <c r="E36" s="6"/>
      <c r="F36" s="6"/>
      <c r="G36" s="6"/>
      <c r="H36" s="313"/>
      <c r="I36" s="313"/>
      <c r="J36" s="151"/>
      <c r="K36" s="151"/>
      <c r="L36" s="6"/>
      <c r="M36" s="6"/>
      <c r="N36" s="6"/>
      <c r="O36" s="309"/>
      <c r="P36" s="309"/>
      <c r="Q36" s="225"/>
      <c r="R36" s="225"/>
      <c r="S36" s="89"/>
      <c r="T36" s="89"/>
      <c r="U36" s="89"/>
      <c r="V36" s="309"/>
      <c r="W36" s="309"/>
      <c r="X36" s="143"/>
      <c r="Y36" s="143"/>
      <c r="Z36" s="30"/>
      <c r="AA36" s="30"/>
      <c r="AB36" s="30"/>
    </row>
    <row r="37" spans="3:28" ht="18.75" x14ac:dyDescent="0.25">
      <c r="C37" s="150"/>
      <c r="D37" s="150"/>
      <c r="E37" s="4"/>
      <c r="F37" s="4"/>
      <c r="G37" s="4"/>
      <c r="H37" s="313"/>
      <c r="I37" s="313"/>
      <c r="J37" s="150"/>
      <c r="K37" s="150"/>
      <c r="L37" s="4"/>
      <c r="M37" s="4"/>
      <c r="N37" s="4"/>
      <c r="O37" s="309"/>
      <c r="P37" s="309"/>
      <c r="Q37" s="250"/>
      <c r="R37" s="250"/>
      <c r="S37" s="4"/>
      <c r="T37" s="4"/>
      <c r="U37" s="4"/>
      <c r="V37" s="309"/>
      <c r="W37" s="309"/>
      <c r="X37" s="142"/>
      <c r="Y37" s="142"/>
      <c r="Z37" s="29"/>
      <c r="AA37" s="29"/>
      <c r="AB37" s="29"/>
    </row>
    <row r="38" spans="3:28" ht="18.75" x14ac:dyDescent="0.25">
      <c r="C38" s="151"/>
      <c r="D38" s="151"/>
      <c r="E38" s="6"/>
      <c r="F38" s="6"/>
      <c r="G38" s="6"/>
      <c r="H38" s="313"/>
      <c r="I38" s="313"/>
      <c r="J38" s="151"/>
      <c r="K38" s="151"/>
      <c r="L38" s="6"/>
      <c r="M38" s="6"/>
      <c r="N38" s="6"/>
      <c r="O38" s="309"/>
      <c r="P38" s="309"/>
      <c r="Q38" s="225"/>
      <c r="R38" s="225"/>
      <c r="S38" s="89"/>
      <c r="T38" s="89"/>
      <c r="U38" s="89"/>
      <c r="V38" s="309"/>
      <c r="W38" s="309"/>
      <c r="X38" s="143"/>
      <c r="Y38" s="143"/>
      <c r="Z38" s="30"/>
      <c r="AA38" s="30"/>
      <c r="AB38" s="30"/>
    </row>
    <row r="39" spans="3:28" ht="18.75" x14ac:dyDescent="0.25">
      <c r="C39" s="150"/>
      <c r="D39" s="150"/>
      <c r="E39" s="4"/>
      <c r="F39" s="4"/>
      <c r="G39" s="4"/>
      <c r="H39" s="313"/>
      <c r="I39" s="313"/>
      <c r="J39" s="150"/>
      <c r="K39" s="150"/>
      <c r="L39" s="4"/>
      <c r="M39" s="4"/>
      <c r="N39" s="4"/>
      <c r="O39" s="309"/>
      <c r="P39" s="309"/>
      <c r="Q39" s="250"/>
      <c r="R39" s="250"/>
      <c r="S39" s="4"/>
      <c r="T39" s="4"/>
      <c r="U39" s="4"/>
      <c r="V39" s="309"/>
      <c r="W39" s="309"/>
      <c r="X39" s="142"/>
      <c r="Y39" s="142"/>
      <c r="Z39" s="29"/>
      <c r="AA39" s="29"/>
      <c r="AB39" s="29"/>
    </row>
    <row r="40" spans="3:28" ht="18.75" x14ac:dyDescent="0.25">
      <c r="C40" s="151"/>
      <c r="D40" s="151"/>
      <c r="E40" s="6"/>
      <c r="F40" s="6"/>
      <c r="G40" s="6"/>
      <c r="H40" s="313"/>
      <c r="I40" s="313"/>
      <c r="J40" s="151"/>
      <c r="K40" s="151"/>
      <c r="L40" s="6"/>
      <c r="M40" s="6"/>
      <c r="N40" s="6"/>
      <c r="O40" s="309"/>
      <c r="P40" s="309"/>
      <c r="Q40" s="225"/>
      <c r="R40" s="225"/>
      <c r="S40" s="89"/>
      <c r="T40" s="89"/>
      <c r="U40" s="89"/>
      <c r="V40" s="309"/>
      <c r="W40" s="309"/>
      <c r="X40" s="143"/>
      <c r="Y40" s="143"/>
      <c r="Z40" s="30"/>
      <c r="AA40" s="30"/>
      <c r="AB40" s="30"/>
    </row>
    <row r="41" spans="3:28" ht="18.75" x14ac:dyDescent="0.25">
      <c r="C41" s="150"/>
      <c r="D41" s="150"/>
      <c r="E41" s="4"/>
      <c r="F41" s="4"/>
      <c r="G41" s="4"/>
      <c r="H41" s="313"/>
      <c r="I41" s="313"/>
      <c r="J41" s="150"/>
      <c r="K41" s="150"/>
      <c r="L41" s="4"/>
      <c r="M41" s="4"/>
      <c r="N41" s="4"/>
      <c r="O41" s="309"/>
      <c r="P41" s="309"/>
      <c r="Q41" s="250"/>
      <c r="R41" s="250"/>
      <c r="S41" s="4"/>
      <c r="T41" s="4"/>
      <c r="U41" s="4"/>
      <c r="V41" s="309"/>
      <c r="W41" s="309"/>
      <c r="X41" s="250"/>
      <c r="Y41" s="250"/>
      <c r="Z41" s="4"/>
      <c r="AA41" s="4"/>
      <c r="AB41" s="4"/>
    </row>
    <row r="42" spans="3:28" ht="18.75" x14ac:dyDescent="0.25">
      <c r="C42" s="151"/>
      <c r="D42" s="151"/>
      <c r="E42" s="6"/>
      <c r="F42" s="6"/>
      <c r="G42" s="6"/>
      <c r="H42" s="313"/>
      <c r="I42" s="313"/>
      <c r="J42" s="151"/>
      <c r="K42" s="151"/>
      <c r="L42" s="6"/>
      <c r="M42" s="6"/>
      <c r="N42" s="6"/>
      <c r="O42" s="309"/>
      <c r="P42" s="309"/>
      <c r="Q42" s="225"/>
      <c r="R42" s="225"/>
      <c r="S42" s="89"/>
      <c r="T42" s="89"/>
      <c r="U42" s="89"/>
      <c r="V42" s="309"/>
      <c r="W42" s="309"/>
      <c r="X42" s="225"/>
      <c r="Y42" s="225"/>
      <c r="Z42" s="89"/>
      <c r="AA42" s="89"/>
      <c r="AB42" s="89"/>
    </row>
    <row r="43" spans="3:28" ht="18.75" x14ac:dyDescent="0.25">
      <c r="C43" s="168"/>
      <c r="D43" s="57"/>
      <c r="E43" s="168"/>
      <c r="F43" s="168"/>
      <c r="G43" s="168"/>
      <c r="H43" s="313"/>
      <c r="I43" s="313"/>
      <c r="J43" s="168"/>
      <c r="K43" s="57"/>
      <c r="L43" s="168"/>
      <c r="M43" s="168"/>
      <c r="N43" s="168"/>
      <c r="O43" s="309"/>
      <c r="P43" s="309"/>
      <c r="Q43" s="140"/>
      <c r="R43" s="48"/>
      <c r="S43" s="140"/>
      <c r="T43" s="140"/>
      <c r="U43" s="140"/>
      <c r="V43" s="309"/>
      <c r="W43" s="309"/>
      <c r="X43" s="140"/>
      <c r="Y43" s="48"/>
      <c r="Z43" s="140"/>
      <c r="AA43" s="140"/>
      <c r="AB43" s="140"/>
    </row>
    <row r="44" spans="3:28" ht="18.75" x14ac:dyDescent="0.25">
      <c r="C44" s="169"/>
      <c r="D44" s="58"/>
      <c r="E44" s="169"/>
      <c r="F44" s="169"/>
      <c r="G44" s="169"/>
      <c r="H44" s="313"/>
      <c r="I44" s="313"/>
      <c r="J44" s="169"/>
      <c r="K44" s="58"/>
      <c r="L44" s="169"/>
      <c r="M44" s="169"/>
      <c r="N44" s="169"/>
      <c r="O44" s="309"/>
      <c r="P44" s="309"/>
      <c r="Q44" s="141"/>
      <c r="R44" s="49"/>
      <c r="S44" s="141"/>
      <c r="T44" s="141"/>
      <c r="U44" s="141"/>
      <c r="V44" s="309"/>
      <c r="W44" s="309"/>
      <c r="X44" s="141"/>
      <c r="Y44" s="49"/>
      <c r="Z44" s="141"/>
      <c r="AA44" s="141"/>
      <c r="AB44" s="141"/>
    </row>
  </sheetData>
  <mergeCells count="164">
    <mergeCell ref="C4:G5"/>
    <mergeCell ref="H4:I44"/>
    <mergeCell ref="C21:G22"/>
    <mergeCell ref="C37:C38"/>
    <mergeCell ref="D37:D38"/>
    <mergeCell ref="C39:C40"/>
    <mergeCell ref="D39:D40"/>
    <mergeCell ref="C41:C42"/>
    <mergeCell ref="D41:D42"/>
    <mergeCell ref="C31:C32"/>
    <mergeCell ref="D31:D32"/>
    <mergeCell ref="C33:C34"/>
    <mergeCell ref="D33:D34"/>
    <mergeCell ref="C35:C36"/>
    <mergeCell ref="D35:D36"/>
    <mergeCell ref="C25:C26"/>
    <mergeCell ref="D23:D24"/>
    <mergeCell ref="C13:C14"/>
    <mergeCell ref="D13:D14"/>
    <mergeCell ref="C15:C16"/>
    <mergeCell ref="D15:D16"/>
    <mergeCell ref="C17:C18"/>
    <mergeCell ref="D17:D18"/>
    <mergeCell ref="C7:C8"/>
    <mergeCell ref="J7:J8"/>
    <mergeCell ref="K7:K8"/>
    <mergeCell ref="J9:J10"/>
    <mergeCell ref="K9:K10"/>
    <mergeCell ref="C43:C44"/>
    <mergeCell ref="E43:E44"/>
    <mergeCell ref="F43:F44"/>
    <mergeCell ref="G43:G44"/>
    <mergeCell ref="D25:D26"/>
    <mergeCell ref="C27:C28"/>
    <mergeCell ref="D27:D28"/>
    <mergeCell ref="C29:C30"/>
    <mergeCell ref="D29:D30"/>
    <mergeCell ref="C19:C20"/>
    <mergeCell ref="D19:D20"/>
    <mergeCell ref="C23:C24"/>
    <mergeCell ref="D7:D8"/>
    <mergeCell ref="C9:C10"/>
    <mergeCell ref="D9:D10"/>
    <mergeCell ref="C11:C12"/>
    <mergeCell ref="D11:D12"/>
    <mergeCell ref="J27:J28"/>
    <mergeCell ref="K27:K28"/>
    <mergeCell ref="J17:J18"/>
    <mergeCell ref="K17:K18"/>
    <mergeCell ref="J19:J20"/>
    <mergeCell ref="K19:K20"/>
    <mergeCell ref="J21:J22"/>
    <mergeCell ref="K21:K22"/>
    <mergeCell ref="J11:J12"/>
    <mergeCell ref="K11:K12"/>
    <mergeCell ref="J13:J14"/>
    <mergeCell ref="K13:K14"/>
    <mergeCell ref="J15:J16"/>
    <mergeCell ref="K15:K16"/>
    <mergeCell ref="O4:P44"/>
    <mergeCell ref="G1:M2"/>
    <mergeCell ref="J41:J42"/>
    <mergeCell ref="K41:K42"/>
    <mergeCell ref="J43:J44"/>
    <mergeCell ref="L43:L44"/>
    <mergeCell ref="M43:M44"/>
    <mergeCell ref="N43:N44"/>
    <mergeCell ref="J35:J36"/>
    <mergeCell ref="K35:K36"/>
    <mergeCell ref="J37:J38"/>
    <mergeCell ref="K37:K38"/>
    <mergeCell ref="J39:J40"/>
    <mergeCell ref="K39:K40"/>
    <mergeCell ref="J29:J30"/>
    <mergeCell ref="K29:K30"/>
    <mergeCell ref="J31:J32"/>
    <mergeCell ref="K31:K32"/>
    <mergeCell ref="J33:J34"/>
    <mergeCell ref="K33:K34"/>
    <mergeCell ref="J23:J24"/>
    <mergeCell ref="K23:K24"/>
    <mergeCell ref="J25:J26"/>
    <mergeCell ref="K25:K26"/>
    <mergeCell ref="Q13:Q14"/>
    <mergeCell ref="R13:R14"/>
    <mergeCell ref="Q15:Q16"/>
    <mergeCell ref="R15:R16"/>
    <mergeCell ref="Q17:Q18"/>
    <mergeCell ref="R17:R18"/>
    <mergeCell ref="Q7:Q8"/>
    <mergeCell ref="R7:R8"/>
    <mergeCell ref="Q9:Q10"/>
    <mergeCell ref="R9:R10"/>
    <mergeCell ref="Q11:Q12"/>
    <mergeCell ref="R11:R12"/>
    <mergeCell ref="R25:R26"/>
    <mergeCell ref="Q27:Q28"/>
    <mergeCell ref="R27:R28"/>
    <mergeCell ref="Q29:Q30"/>
    <mergeCell ref="R29:R30"/>
    <mergeCell ref="Q19:Q20"/>
    <mergeCell ref="R19:R20"/>
    <mergeCell ref="Q21:Q22"/>
    <mergeCell ref="R21:R22"/>
    <mergeCell ref="Q23:Q24"/>
    <mergeCell ref="R23:R24"/>
    <mergeCell ref="X7:X8"/>
    <mergeCell ref="Y7:Y8"/>
    <mergeCell ref="X9:X10"/>
    <mergeCell ref="Y9:Y10"/>
    <mergeCell ref="X11:X12"/>
    <mergeCell ref="Y11:Y12"/>
    <mergeCell ref="Q43:Q44"/>
    <mergeCell ref="S43:S44"/>
    <mergeCell ref="T43:T44"/>
    <mergeCell ref="U43:U44"/>
    <mergeCell ref="V4:W44"/>
    <mergeCell ref="Q37:Q38"/>
    <mergeCell ref="R37:R38"/>
    <mergeCell ref="Q39:Q40"/>
    <mergeCell ref="R39:R40"/>
    <mergeCell ref="Q41:Q42"/>
    <mergeCell ref="R41:R42"/>
    <mergeCell ref="Q31:Q32"/>
    <mergeCell ref="R31:R32"/>
    <mergeCell ref="Q33:Q34"/>
    <mergeCell ref="R33:R34"/>
    <mergeCell ref="Q35:Q36"/>
    <mergeCell ref="R35:R36"/>
    <mergeCell ref="Q25:Q26"/>
    <mergeCell ref="X19:X20"/>
    <mergeCell ref="Y19:Y20"/>
    <mergeCell ref="X21:X22"/>
    <mergeCell ref="Y21:Y22"/>
    <mergeCell ref="X23:X24"/>
    <mergeCell ref="Y23:Y24"/>
    <mergeCell ref="X13:X14"/>
    <mergeCell ref="Y13:Y14"/>
    <mergeCell ref="X15:X16"/>
    <mergeCell ref="Y15:Y16"/>
    <mergeCell ref="X17:X18"/>
    <mergeCell ref="Y17:Y18"/>
    <mergeCell ref="X31:X32"/>
    <mergeCell ref="Y31:Y32"/>
    <mergeCell ref="X33:X34"/>
    <mergeCell ref="Y33:Y34"/>
    <mergeCell ref="X35:X36"/>
    <mergeCell ref="Y35:Y36"/>
    <mergeCell ref="X25:X26"/>
    <mergeCell ref="Y25:Y26"/>
    <mergeCell ref="X27:X28"/>
    <mergeCell ref="Y27:Y28"/>
    <mergeCell ref="X29:X30"/>
    <mergeCell ref="Y29:Y30"/>
    <mergeCell ref="X43:X44"/>
    <mergeCell ref="Z43:Z44"/>
    <mergeCell ref="AA43:AA44"/>
    <mergeCell ref="AB43:AB44"/>
    <mergeCell ref="X37:X38"/>
    <mergeCell ref="Y37:Y38"/>
    <mergeCell ref="X39:X40"/>
    <mergeCell ref="Y39:Y40"/>
    <mergeCell ref="X41:X42"/>
    <mergeCell ref="Y41:Y42"/>
  </mergeCells>
  <phoneticPr fontId="6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4A034-95E3-4796-82B3-311F675730E0}">
  <dimension ref="B3:X109"/>
  <sheetViews>
    <sheetView rightToLeft="1" topLeftCell="Q22" zoomScale="70" zoomScaleNormal="70" workbookViewId="0">
      <selection activeCell="Z64" sqref="Z64"/>
    </sheetView>
  </sheetViews>
  <sheetFormatPr defaultColWidth="11.42578125" defaultRowHeight="15" x14ac:dyDescent="0.25"/>
  <cols>
    <col min="2" max="2" width="16.7109375" bestFit="1" customWidth="1"/>
    <col min="3" max="3" width="23.85546875" customWidth="1"/>
    <col min="4" max="4" width="24.42578125" bestFit="1" customWidth="1"/>
    <col min="5" max="5" width="12.7109375" customWidth="1"/>
    <col min="6" max="6" width="15" customWidth="1"/>
    <col min="7" max="7" width="32.140625" bestFit="1" customWidth="1"/>
    <col min="8" max="8" width="14.85546875" customWidth="1"/>
    <col min="10" max="10" width="24.28515625" customWidth="1"/>
    <col min="11" max="11" width="21.5703125" bestFit="1" customWidth="1"/>
    <col min="12" max="12" width="20.85546875" customWidth="1"/>
    <col min="13" max="13" width="13" customWidth="1"/>
    <col min="14" max="14" width="9" bestFit="1" customWidth="1"/>
    <col min="15" max="15" width="27.42578125" bestFit="1" customWidth="1"/>
    <col min="18" max="18" width="20.5703125" customWidth="1"/>
    <col min="19" max="19" width="25.5703125" bestFit="1" customWidth="1"/>
    <col min="20" max="20" width="26.5703125" bestFit="1" customWidth="1"/>
    <col min="21" max="21" width="25.5703125" bestFit="1" customWidth="1"/>
    <col min="22" max="22" width="17.28515625" bestFit="1" customWidth="1"/>
    <col min="23" max="23" width="35" bestFit="1" customWidth="1"/>
    <col min="25" max="25" width="14.28515625" bestFit="1" customWidth="1"/>
    <col min="26" max="27" width="20.42578125" bestFit="1" customWidth="1"/>
    <col min="28" max="28" width="6.5703125" bestFit="1" customWidth="1"/>
    <col min="30" max="30" width="26.42578125" bestFit="1" customWidth="1"/>
  </cols>
  <sheetData>
    <row r="3" spans="2:24" x14ac:dyDescent="0.25">
      <c r="B3" s="334" t="s">
        <v>571</v>
      </c>
      <c r="C3" s="335"/>
      <c r="D3" s="335"/>
      <c r="E3" s="335"/>
      <c r="F3" s="335"/>
      <c r="G3" s="336"/>
      <c r="J3" s="334" t="s">
        <v>634</v>
      </c>
      <c r="K3" s="335"/>
      <c r="L3" s="335"/>
      <c r="M3" s="335"/>
      <c r="N3" s="335"/>
      <c r="O3" s="336"/>
      <c r="R3" s="334" t="s">
        <v>1302</v>
      </c>
      <c r="S3" s="335"/>
      <c r="T3" s="335"/>
      <c r="U3" s="335"/>
      <c r="V3" s="335"/>
      <c r="W3" s="336"/>
    </row>
    <row r="4" spans="2:24" x14ac:dyDescent="0.25">
      <c r="B4" s="337"/>
      <c r="C4" s="338"/>
      <c r="D4" s="338"/>
      <c r="E4" s="338"/>
      <c r="F4" s="338"/>
      <c r="G4" s="339"/>
      <c r="J4" s="337"/>
      <c r="K4" s="338"/>
      <c r="L4" s="338"/>
      <c r="M4" s="338"/>
      <c r="N4" s="338"/>
      <c r="O4" s="339"/>
      <c r="R4" s="337"/>
      <c r="S4" s="338"/>
      <c r="T4" s="338"/>
      <c r="U4" s="338"/>
      <c r="V4" s="338"/>
      <c r="W4" s="339"/>
    </row>
    <row r="5" spans="2:24" ht="19.5" thickBot="1" x14ac:dyDescent="0.3">
      <c r="B5" s="38" t="s">
        <v>215</v>
      </c>
      <c r="C5" s="39" t="s">
        <v>2</v>
      </c>
      <c r="D5" s="40" t="s">
        <v>357</v>
      </c>
      <c r="E5" s="41" t="s">
        <v>358</v>
      </c>
      <c r="F5" s="42" t="s">
        <v>359</v>
      </c>
      <c r="G5" s="43" t="s">
        <v>360</v>
      </c>
      <c r="J5" s="38" t="s">
        <v>215</v>
      </c>
      <c r="K5" s="39" t="s">
        <v>2</v>
      </c>
      <c r="L5" s="40" t="s">
        <v>357</v>
      </c>
      <c r="M5" s="41" t="s">
        <v>358</v>
      </c>
      <c r="N5" s="42" t="s">
        <v>359</v>
      </c>
      <c r="O5" s="43" t="s">
        <v>360</v>
      </c>
      <c r="R5" s="38" t="s">
        <v>215</v>
      </c>
      <c r="S5" s="39" t="s">
        <v>2</v>
      </c>
      <c r="T5" s="40" t="s">
        <v>357</v>
      </c>
      <c r="U5" s="41" t="s">
        <v>358</v>
      </c>
      <c r="V5" s="42" t="s">
        <v>359</v>
      </c>
      <c r="W5" s="43" t="s">
        <v>360</v>
      </c>
    </row>
    <row r="6" spans="2:24" ht="18.75" x14ac:dyDescent="0.25">
      <c r="B6" s="348" t="s">
        <v>363</v>
      </c>
      <c r="C6" s="28">
        <v>250</v>
      </c>
      <c r="D6" s="28">
        <v>1500</v>
      </c>
      <c r="E6" s="323" t="s">
        <v>361</v>
      </c>
      <c r="F6" s="140" t="s">
        <v>365</v>
      </c>
      <c r="G6" s="320" t="s">
        <v>366</v>
      </c>
      <c r="H6" s="340" t="s">
        <v>505</v>
      </c>
      <c r="J6" s="329" t="s">
        <v>656</v>
      </c>
      <c r="K6" s="30">
        <v>250</v>
      </c>
      <c r="L6" s="30">
        <v>1500</v>
      </c>
      <c r="M6" s="323" t="s">
        <v>361</v>
      </c>
      <c r="N6" s="140" t="s">
        <v>636</v>
      </c>
      <c r="O6" s="320"/>
      <c r="P6" s="340"/>
      <c r="R6" s="329" t="s">
        <v>758</v>
      </c>
      <c r="S6" s="30">
        <v>250</v>
      </c>
      <c r="T6" s="30">
        <v>1500</v>
      </c>
      <c r="U6" s="324" t="s">
        <v>361</v>
      </c>
      <c r="V6" s="140" t="s">
        <v>672</v>
      </c>
      <c r="W6" s="320" t="s">
        <v>667</v>
      </c>
      <c r="X6" s="358"/>
    </row>
    <row r="7" spans="2:24" ht="16.5" customHeight="1" thickBot="1" x14ac:dyDescent="0.3">
      <c r="B7" s="348"/>
      <c r="C7" s="33" t="s">
        <v>364</v>
      </c>
      <c r="D7" s="33" t="s">
        <v>364</v>
      </c>
      <c r="E7" s="324"/>
      <c r="F7" s="141"/>
      <c r="G7" s="321"/>
      <c r="H7" s="341"/>
      <c r="J7" s="329"/>
      <c r="K7" s="30" t="s">
        <v>635</v>
      </c>
      <c r="L7" s="30" t="s">
        <v>681</v>
      </c>
      <c r="M7" s="324"/>
      <c r="N7" s="141"/>
      <c r="O7" s="321"/>
      <c r="P7" s="341"/>
      <c r="R7" s="329"/>
      <c r="S7" s="30" t="s">
        <v>759</v>
      </c>
      <c r="T7" s="30" t="s">
        <v>757</v>
      </c>
      <c r="U7" s="324"/>
      <c r="V7" s="141"/>
      <c r="W7" s="321"/>
      <c r="X7" s="358"/>
    </row>
    <row r="8" spans="2:24" ht="15" customHeight="1" x14ac:dyDescent="0.25">
      <c r="B8" s="150" t="s">
        <v>37</v>
      </c>
      <c r="C8" s="2">
        <v>250</v>
      </c>
      <c r="D8" s="2">
        <v>2500</v>
      </c>
      <c r="E8" s="349" t="s">
        <v>54</v>
      </c>
      <c r="F8" s="150" t="s">
        <v>444</v>
      </c>
      <c r="G8" s="150" t="s">
        <v>39</v>
      </c>
      <c r="H8" s="340" t="s">
        <v>504</v>
      </c>
      <c r="J8" s="322" t="s">
        <v>664</v>
      </c>
      <c r="K8" s="30">
        <v>250</v>
      </c>
      <c r="L8" s="30">
        <v>1500</v>
      </c>
      <c r="M8" s="332" t="s">
        <v>361</v>
      </c>
      <c r="N8" s="140" t="s">
        <v>666</v>
      </c>
      <c r="O8" s="250" t="s">
        <v>667</v>
      </c>
      <c r="P8" s="340"/>
      <c r="R8" s="343" t="s">
        <v>816</v>
      </c>
      <c r="S8" s="30">
        <v>250</v>
      </c>
      <c r="T8" s="30">
        <v>2000</v>
      </c>
      <c r="U8" s="344" t="s">
        <v>818</v>
      </c>
      <c r="V8" s="140" t="s">
        <v>819</v>
      </c>
      <c r="W8" s="140"/>
      <c r="X8" s="55"/>
    </row>
    <row r="9" spans="2:24" ht="15" customHeight="1" x14ac:dyDescent="0.25">
      <c r="B9" s="151"/>
      <c r="C9" s="2" t="s">
        <v>38</v>
      </c>
      <c r="D9" s="2" t="s">
        <v>38</v>
      </c>
      <c r="E9" s="151"/>
      <c r="F9" s="151"/>
      <c r="G9" s="151"/>
      <c r="H9" s="341"/>
      <c r="J9" s="342"/>
      <c r="K9" s="30" t="s">
        <v>665</v>
      </c>
      <c r="L9" s="30" t="s">
        <v>665</v>
      </c>
      <c r="M9" s="169"/>
      <c r="N9" s="169"/>
      <c r="O9" s="151"/>
      <c r="P9" s="341"/>
      <c r="R9" s="342"/>
      <c r="S9" s="30" t="s">
        <v>817</v>
      </c>
      <c r="T9" s="30" t="s">
        <v>817</v>
      </c>
      <c r="U9" s="345"/>
      <c r="V9" s="141"/>
      <c r="W9" s="141"/>
      <c r="X9" s="55"/>
    </row>
    <row r="10" spans="2:24" ht="15.75" customHeight="1" x14ac:dyDescent="0.25">
      <c r="B10" s="168" t="s">
        <v>222</v>
      </c>
      <c r="C10" s="2">
        <v>250</v>
      </c>
      <c r="D10" s="2"/>
      <c r="E10" s="324" t="s">
        <v>361</v>
      </c>
      <c r="F10" s="140" t="s">
        <v>507</v>
      </c>
      <c r="G10" s="150" t="s">
        <v>223</v>
      </c>
      <c r="H10" s="340" t="s">
        <v>504</v>
      </c>
      <c r="J10" s="322" t="s">
        <v>664</v>
      </c>
      <c r="K10" s="30">
        <v>250</v>
      </c>
      <c r="L10" s="30">
        <v>1500</v>
      </c>
      <c r="M10" s="352" t="s">
        <v>361</v>
      </c>
      <c r="N10" s="140" t="s">
        <v>507</v>
      </c>
      <c r="O10" s="150" t="s">
        <v>667</v>
      </c>
      <c r="P10" s="340"/>
      <c r="R10" s="329" t="s">
        <v>284</v>
      </c>
      <c r="S10" s="30">
        <v>500</v>
      </c>
      <c r="T10" s="30">
        <v>4000</v>
      </c>
      <c r="U10" s="344" t="s">
        <v>862</v>
      </c>
      <c r="V10" s="140" t="s">
        <v>858</v>
      </c>
      <c r="W10" s="340" t="s">
        <v>859</v>
      </c>
    </row>
    <row r="11" spans="2:24" ht="15" customHeight="1" x14ac:dyDescent="0.25">
      <c r="B11" s="169"/>
      <c r="C11" s="2" t="s">
        <v>224</v>
      </c>
      <c r="D11" s="2"/>
      <c r="E11" s="324"/>
      <c r="F11" s="141"/>
      <c r="G11" s="151"/>
      <c r="H11" s="341"/>
      <c r="J11" s="342"/>
      <c r="K11" s="30" t="s">
        <v>665</v>
      </c>
      <c r="L11" s="30" t="s">
        <v>665</v>
      </c>
      <c r="M11" s="352"/>
      <c r="N11" s="141"/>
      <c r="O11" s="151"/>
      <c r="P11" s="341"/>
      <c r="R11" s="329"/>
      <c r="S11" s="30" t="s">
        <v>857</v>
      </c>
      <c r="T11" s="30" t="s">
        <v>857</v>
      </c>
      <c r="U11" s="345"/>
      <c r="V11" s="141"/>
      <c r="W11" s="341"/>
    </row>
    <row r="12" spans="2:24" ht="15" customHeight="1" x14ac:dyDescent="0.25">
      <c r="B12" s="168" t="s">
        <v>228</v>
      </c>
      <c r="C12" s="2"/>
      <c r="D12" s="2">
        <v>1500</v>
      </c>
      <c r="E12" s="324" t="s">
        <v>361</v>
      </c>
      <c r="F12" s="140" t="s">
        <v>507</v>
      </c>
      <c r="G12" s="150" t="s">
        <v>182</v>
      </c>
      <c r="H12" s="340" t="s">
        <v>504</v>
      </c>
      <c r="J12" s="322" t="s">
        <v>668</v>
      </c>
      <c r="K12" s="30">
        <v>250</v>
      </c>
      <c r="L12" s="30">
        <v>1500</v>
      </c>
      <c r="M12" s="352" t="s">
        <v>361</v>
      </c>
      <c r="N12" s="140" t="s">
        <v>507</v>
      </c>
      <c r="O12" s="250" t="s">
        <v>667</v>
      </c>
      <c r="P12" s="340"/>
      <c r="R12" s="329" t="s">
        <v>854</v>
      </c>
      <c r="S12" s="30">
        <v>250</v>
      </c>
      <c r="T12" s="30">
        <v>1500</v>
      </c>
      <c r="U12" s="344" t="s">
        <v>861</v>
      </c>
      <c r="V12" s="140" t="s">
        <v>767</v>
      </c>
      <c r="W12" s="320"/>
      <c r="X12" s="355"/>
    </row>
    <row r="13" spans="2:24" ht="15" customHeight="1" x14ac:dyDescent="0.25">
      <c r="B13" s="169"/>
      <c r="C13" s="2"/>
      <c r="D13" s="2" t="s">
        <v>227</v>
      </c>
      <c r="E13" s="324"/>
      <c r="F13" s="141"/>
      <c r="G13" s="151"/>
      <c r="H13" s="341"/>
      <c r="J13" s="342"/>
      <c r="K13" s="30" t="s">
        <v>669</v>
      </c>
      <c r="L13" s="30" t="s">
        <v>669</v>
      </c>
      <c r="M13" s="352"/>
      <c r="N13" s="141"/>
      <c r="O13" s="151"/>
      <c r="P13" s="341"/>
      <c r="R13" s="329"/>
      <c r="S13" s="30" t="s">
        <v>860</v>
      </c>
      <c r="T13" s="30" t="s">
        <v>860</v>
      </c>
      <c r="U13" s="345"/>
      <c r="V13" s="141"/>
      <c r="W13" s="321"/>
      <c r="X13" s="355"/>
    </row>
    <row r="14" spans="2:24" ht="15" customHeight="1" x14ac:dyDescent="0.25">
      <c r="B14" s="168" t="s">
        <v>239</v>
      </c>
      <c r="C14" s="37" t="s">
        <v>263</v>
      </c>
      <c r="D14" s="2"/>
      <c r="E14" s="324" t="s">
        <v>361</v>
      </c>
      <c r="F14" s="140" t="s">
        <v>507</v>
      </c>
      <c r="G14" s="150"/>
      <c r="H14" s="340" t="s">
        <v>504</v>
      </c>
      <c r="J14" s="322" t="s">
        <v>668</v>
      </c>
      <c r="K14" s="30">
        <v>250</v>
      </c>
      <c r="L14" s="30">
        <v>1500</v>
      </c>
      <c r="M14" s="352" t="s">
        <v>361</v>
      </c>
      <c r="N14" s="140" t="s">
        <v>672</v>
      </c>
      <c r="O14" s="150" t="s">
        <v>667</v>
      </c>
      <c r="P14" s="340"/>
      <c r="R14" s="329" t="s">
        <v>907</v>
      </c>
      <c r="S14" s="30">
        <v>250</v>
      </c>
      <c r="T14" s="30"/>
      <c r="U14" s="344" t="s">
        <v>862</v>
      </c>
      <c r="V14" s="140" t="s">
        <v>672</v>
      </c>
      <c r="W14" s="320" t="s">
        <v>909</v>
      </c>
    </row>
    <row r="15" spans="2:24" ht="15" customHeight="1" x14ac:dyDescent="0.25">
      <c r="B15" s="169"/>
      <c r="C15" s="37" t="s">
        <v>262</v>
      </c>
      <c r="D15" s="2"/>
      <c r="E15" s="324"/>
      <c r="F15" s="141"/>
      <c r="G15" s="151"/>
      <c r="H15" s="341"/>
      <c r="J15" s="342"/>
      <c r="K15" s="30" t="s">
        <v>671</v>
      </c>
      <c r="L15" s="30" t="s">
        <v>671</v>
      </c>
      <c r="M15" s="352"/>
      <c r="N15" s="141"/>
      <c r="O15" s="151"/>
      <c r="P15" s="341"/>
      <c r="R15" s="329"/>
      <c r="S15" s="30" t="s">
        <v>908</v>
      </c>
      <c r="T15" s="30"/>
      <c r="U15" s="345"/>
      <c r="V15" s="141"/>
      <c r="W15" s="321"/>
    </row>
    <row r="16" spans="2:24" ht="15" customHeight="1" x14ac:dyDescent="0.25">
      <c r="B16" s="168" t="s">
        <v>264</v>
      </c>
      <c r="C16" s="2">
        <v>250</v>
      </c>
      <c r="D16" s="2">
        <v>1500</v>
      </c>
      <c r="E16" s="324" t="s">
        <v>361</v>
      </c>
      <c r="F16" s="140" t="s">
        <v>507</v>
      </c>
      <c r="G16" s="150" t="s">
        <v>266</v>
      </c>
      <c r="H16" s="340" t="s">
        <v>505</v>
      </c>
      <c r="J16" s="322" t="s">
        <v>673</v>
      </c>
      <c r="K16" s="30">
        <v>250</v>
      </c>
      <c r="L16" s="30">
        <v>1500</v>
      </c>
      <c r="M16" s="352" t="s">
        <v>361</v>
      </c>
      <c r="N16" s="140" t="s">
        <v>672</v>
      </c>
      <c r="O16" s="150" t="s">
        <v>678</v>
      </c>
      <c r="P16" s="340"/>
      <c r="R16" s="329" t="s">
        <v>911</v>
      </c>
      <c r="S16" s="30">
        <v>250</v>
      </c>
      <c r="T16" s="30">
        <v>2000</v>
      </c>
      <c r="U16" s="344" t="s">
        <v>862</v>
      </c>
      <c r="V16" s="140" t="s">
        <v>913</v>
      </c>
      <c r="W16" s="320" t="s">
        <v>914</v>
      </c>
    </row>
    <row r="17" spans="2:23" ht="15" customHeight="1" x14ac:dyDescent="0.25">
      <c r="B17" s="169"/>
      <c r="C17" s="2" t="s">
        <v>265</v>
      </c>
      <c r="D17" s="2" t="s">
        <v>265</v>
      </c>
      <c r="E17" s="324"/>
      <c r="F17" s="141"/>
      <c r="G17" s="151"/>
      <c r="H17" s="341"/>
      <c r="J17" s="342"/>
      <c r="K17" s="30" t="s">
        <v>674</v>
      </c>
      <c r="L17" s="30" t="s">
        <v>674</v>
      </c>
      <c r="M17" s="352"/>
      <c r="N17" s="141"/>
      <c r="O17" s="151"/>
      <c r="P17" s="341"/>
      <c r="R17" s="329"/>
      <c r="S17" s="84" t="s">
        <v>912</v>
      </c>
      <c r="T17" s="84" t="s">
        <v>912</v>
      </c>
      <c r="U17" s="345"/>
      <c r="V17" s="141"/>
      <c r="W17" s="321"/>
    </row>
    <row r="18" spans="2:23" ht="15" customHeight="1" x14ac:dyDescent="0.25">
      <c r="B18" s="168" t="s">
        <v>267</v>
      </c>
      <c r="C18" s="2">
        <v>250</v>
      </c>
      <c r="D18" s="2"/>
      <c r="E18" s="324" t="s">
        <v>361</v>
      </c>
      <c r="F18" s="140" t="s">
        <v>507</v>
      </c>
      <c r="G18" s="150" t="s">
        <v>268</v>
      </c>
      <c r="H18" s="340" t="s">
        <v>504</v>
      </c>
      <c r="J18" s="322" t="s">
        <v>675</v>
      </c>
      <c r="K18" s="30">
        <v>250</v>
      </c>
      <c r="L18" s="30">
        <v>1500</v>
      </c>
      <c r="M18" s="352" t="s">
        <v>361</v>
      </c>
      <c r="N18" s="140" t="s">
        <v>672</v>
      </c>
      <c r="O18" s="150" t="s">
        <v>667</v>
      </c>
      <c r="P18" s="340"/>
      <c r="R18" s="329" t="s">
        <v>915</v>
      </c>
      <c r="S18" s="30"/>
      <c r="T18" s="30">
        <v>2000</v>
      </c>
      <c r="U18" s="344" t="s">
        <v>862</v>
      </c>
      <c r="V18" s="140" t="s">
        <v>913</v>
      </c>
      <c r="W18" s="320"/>
    </row>
    <row r="19" spans="2:23" ht="15" customHeight="1" x14ac:dyDescent="0.25">
      <c r="B19" s="169"/>
      <c r="C19" s="2" t="s">
        <v>261</v>
      </c>
      <c r="D19" s="2"/>
      <c r="E19" s="324"/>
      <c r="F19" s="141"/>
      <c r="G19" s="151"/>
      <c r="H19" s="341"/>
      <c r="J19" s="342"/>
      <c r="K19" s="30" t="s">
        <v>676</v>
      </c>
      <c r="L19" s="30" t="s">
        <v>676</v>
      </c>
      <c r="M19" s="352"/>
      <c r="N19" s="141"/>
      <c r="O19" s="151"/>
      <c r="P19" s="341"/>
      <c r="R19" s="329"/>
      <c r="S19" s="30"/>
      <c r="T19" s="84" t="s">
        <v>916</v>
      </c>
      <c r="U19" s="345"/>
      <c r="V19" s="141"/>
      <c r="W19" s="321"/>
    </row>
    <row r="20" spans="2:23" ht="15" customHeight="1" x14ac:dyDescent="0.25">
      <c r="B20" s="168" t="s">
        <v>367</v>
      </c>
      <c r="C20" s="2">
        <v>250</v>
      </c>
      <c r="D20" s="2"/>
      <c r="E20" s="324" t="s">
        <v>361</v>
      </c>
      <c r="F20" s="140" t="s">
        <v>507</v>
      </c>
      <c r="G20" s="150" t="s">
        <v>368</v>
      </c>
      <c r="H20" s="340" t="s">
        <v>504</v>
      </c>
      <c r="J20" s="322" t="s">
        <v>677</v>
      </c>
      <c r="K20" s="30">
        <v>250</v>
      </c>
      <c r="L20" s="30">
        <v>1500</v>
      </c>
      <c r="M20" s="353" t="s">
        <v>682</v>
      </c>
      <c r="N20" s="140" t="s">
        <v>672</v>
      </c>
      <c r="O20" s="150" t="s">
        <v>667</v>
      </c>
      <c r="P20" s="340"/>
      <c r="R20" s="329" t="s">
        <v>928</v>
      </c>
      <c r="S20" s="30">
        <v>250</v>
      </c>
      <c r="T20" s="30">
        <v>2500</v>
      </c>
      <c r="U20" s="323" t="s">
        <v>930</v>
      </c>
      <c r="V20" s="140" t="s">
        <v>931</v>
      </c>
      <c r="W20" s="320" t="s">
        <v>932</v>
      </c>
    </row>
    <row r="21" spans="2:23" ht="15" customHeight="1" x14ac:dyDescent="0.25">
      <c r="B21" s="169"/>
      <c r="C21" s="2" t="s">
        <v>369</v>
      </c>
      <c r="D21" s="2"/>
      <c r="E21" s="324"/>
      <c r="F21" s="141"/>
      <c r="G21" s="151"/>
      <c r="H21" s="341"/>
      <c r="J21" s="342"/>
      <c r="K21" s="30" t="s">
        <v>679</v>
      </c>
      <c r="L21" s="30" t="s">
        <v>680</v>
      </c>
      <c r="M21" s="352"/>
      <c r="N21" s="141"/>
      <c r="O21" s="151"/>
      <c r="P21" s="341"/>
      <c r="R21" s="329"/>
      <c r="S21" s="30" t="s">
        <v>929</v>
      </c>
      <c r="T21" s="30" t="s">
        <v>929</v>
      </c>
      <c r="U21" s="324"/>
      <c r="V21" s="141"/>
      <c r="W21" s="321"/>
    </row>
    <row r="22" spans="2:23" ht="15" customHeight="1" x14ac:dyDescent="0.25">
      <c r="B22" s="168" t="s">
        <v>458</v>
      </c>
      <c r="C22" s="47">
        <v>250</v>
      </c>
      <c r="D22" s="2">
        <v>1500</v>
      </c>
      <c r="E22" s="324" t="s">
        <v>361</v>
      </c>
      <c r="F22" s="140" t="s">
        <v>507</v>
      </c>
      <c r="G22" s="150"/>
      <c r="H22" s="340" t="s">
        <v>505</v>
      </c>
      <c r="J22" s="322" t="s">
        <v>752</v>
      </c>
      <c r="K22" s="30">
        <v>250</v>
      </c>
      <c r="L22" s="30">
        <v>2000</v>
      </c>
      <c r="M22" s="352" t="s">
        <v>388</v>
      </c>
      <c r="N22" s="140" t="s">
        <v>754</v>
      </c>
      <c r="O22" s="150"/>
      <c r="P22" s="340"/>
      <c r="R22" s="329" t="s">
        <v>1291</v>
      </c>
      <c r="S22" s="30">
        <v>250</v>
      </c>
      <c r="T22" s="30">
        <v>3000</v>
      </c>
      <c r="U22" s="323" t="s">
        <v>362</v>
      </c>
      <c r="V22" s="140" t="s">
        <v>942</v>
      </c>
      <c r="W22" s="320" t="s">
        <v>943</v>
      </c>
    </row>
    <row r="23" spans="2:23" ht="15" customHeight="1" x14ac:dyDescent="0.25">
      <c r="B23" s="169"/>
      <c r="C23" s="47" t="s">
        <v>459</v>
      </c>
      <c r="D23" s="2" t="s">
        <v>459</v>
      </c>
      <c r="E23" s="324"/>
      <c r="F23" s="141"/>
      <c r="G23" s="151"/>
      <c r="H23" s="341"/>
      <c r="J23" s="342"/>
      <c r="K23" s="30" t="s">
        <v>753</v>
      </c>
      <c r="L23" s="30" t="s">
        <v>753</v>
      </c>
      <c r="M23" s="352"/>
      <c r="N23" s="141"/>
      <c r="O23" s="151"/>
      <c r="P23" s="341"/>
      <c r="R23" s="329"/>
      <c r="S23" s="30" t="s">
        <v>941</v>
      </c>
      <c r="T23" s="30" t="s">
        <v>941</v>
      </c>
      <c r="U23" s="324"/>
      <c r="V23" s="141"/>
      <c r="W23" s="321"/>
    </row>
    <row r="24" spans="2:23" ht="15" customHeight="1" x14ac:dyDescent="0.25">
      <c r="B24" s="168" t="s">
        <v>454</v>
      </c>
      <c r="C24" s="2">
        <v>250</v>
      </c>
      <c r="D24" s="2">
        <v>1500</v>
      </c>
      <c r="E24" s="324" t="s">
        <v>361</v>
      </c>
      <c r="F24" s="140" t="s">
        <v>507</v>
      </c>
      <c r="G24" s="320"/>
      <c r="H24" s="346" t="s">
        <v>506</v>
      </c>
      <c r="J24" s="322" t="s">
        <v>752</v>
      </c>
      <c r="K24" s="30">
        <v>250</v>
      </c>
      <c r="L24" s="51">
        <v>2000</v>
      </c>
      <c r="M24" s="324" t="s">
        <v>388</v>
      </c>
      <c r="N24" s="140" t="s">
        <v>672</v>
      </c>
      <c r="O24" s="320"/>
      <c r="P24" s="346"/>
      <c r="R24" s="329" t="s">
        <v>944</v>
      </c>
      <c r="S24" s="87"/>
      <c r="T24" s="30">
        <v>3000</v>
      </c>
      <c r="U24" s="323" t="s">
        <v>902</v>
      </c>
      <c r="V24" s="140" t="s">
        <v>1292</v>
      </c>
      <c r="W24" s="320" t="s">
        <v>946</v>
      </c>
    </row>
    <row r="25" spans="2:23" ht="15" customHeight="1" x14ac:dyDescent="0.25">
      <c r="B25" s="169"/>
      <c r="C25" s="2" t="s">
        <v>455</v>
      </c>
      <c r="D25" s="2" t="s">
        <v>455</v>
      </c>
      <c r="E25" s="324"/>
      <c r="F25" s="141"/>
      <c r="G25" s="321"/>
      <c r="H25" s="347"/>
      <c r="J25" s="342"/>
      <c r="K25" s="30" t="s">
        <v>755</v>
      </c>
      <c r="L25" s="30" t="s">
        <v>755</v>
      </c>
      <c r="M25" s="324"/>
      <c r="N25" s="141"/>
      <c r="O25" s="321"/>
      <c r="P25" s="347"/>
      <c r="R25" s="329"/>
      <c r="S25" s="87"/>
      <c r="T25" s="30" t="s">
        <v>945</v>
      </c>
      <c r="U25" s="324"/>
      <c r="V25" s="141"/>
      <c r="W25" s="328"/>
    </row>
    <row r="26" spans="2:23" ht="15" customHeight="1" x14ac:dyDescent="0.25">
      <c r="B26" s="58"/>
      <c r="C26" s="2"/>
      <c r="D26" s="2"/>
      <c r="E26" s="80"/>
      <c r="F26" s="75"/>
      <c r="G26" s="76"/>
      <c r="H26" s="86"/>
      <c r="J26" s="81"/>
      <c r="K26" s="30"/>
      <c r="L26" s="30"/>
      <c r="M26" s="80"/>
      <c r="N26" s="75"/>
      <c r="O26" s="76"/>
      <c r="P26" s="86"/>
      <c r="R26" s="329" t="s">
        <v>956</v>
      </c>
      <c r="S26" s="30">
        <v>250</v>
      </c>
      <c r="T26" s="30">
        <v>2500</v>
      </c>
      <c r="U26" s="323" t="s">
        <v>959</v>
      </c>
      <c r="V26" s="325" t="s">
        <v>958</v>
      </c>
      <c r="W26" s="320"/>
    </row>
    <row r="27" spans="2:23" ht="15" customHeight="1" x14ac:dyDescent="0.25">
      <c r="B27" s="58"/>
      <c r="C27" s="2"/>
      <c r="D27" s="2"/>
      <c r="E27" s="80"/>
      <c r="F27" s="75"/>
      <c r="G27" s="76"/>
      <c r="H27" s="86"/>
      <c r="J27" s="81"/>
      <c r="K27" s="30"/>
      <c r="L27" s="30"/>
      <c r="M27" s="80"/>
      <c r="N27" s="75"/>
      <c r="O27" s="76"/>
      <c r="P27" s="86"/>
      <c r="R27" s="329"/>
      <c r="S27" s="30" t="s">
        <v>957</v>
      </c>
      <c r="T27" s="30" t="s">
        <v>957</v>
      </c>
      <c r="U27" s="324"/>
      <c r="V27" s="326"/>
      <c r="W27" s="321"/>
    </row>
    <row r="28" spans="2:23" ht="18.75" x14ac:dyDescent="0.25">
      <c r="B28" s="348" t="s">
        <v>264</v>
      </c>
      <c r="C28" s="2">
        <v>250</v>
      </c>
      <c r="D28" s="28">
        <v>1500</v>
      </c>
      <c r="E28" s="324" t="s">
        <v>361</v>
      </c>
      <c r="F28" s="140" t="s">
        <v>531</v>
      </c>
      <c r="G28" s="320" t="s">
        <v>532</v>
      </c>
      <c r="H28" s="340" t="s">
        <v>505</v>
      </c>
      <c r="J28" s="329" t="s">
        <v>756</v>
      </c>
      <c r="K28" s="30">
        <v>250</v>
      </c>
      <c r="L28" s="30">
        <v>1500</v>
      </c>
      <c r="M28" s="324" t="s">
        <v>361</v>
      </c>
      <c r="N28" s="140" t="s">
        <v>672</v>
      </c>
      <c r="O28" s="320"/>
      <c r="P28" s="340"/>
      <c r="R28" s="329" t="s">
        <v>1043</v>
      </c>
      <c r="S28" s="30">
        <v>250</v>
      </c>
      <c r="T28" s="30">
        <v>1500</v>
      </c>
      <c r="U28" s="323" t="s">
        <v>1045</v>
      </c>
      <c r="V28" s="325" t="s">
        <v>672</v>
      </c>
      <c r="W28" s="320"/>
    </row>
    <row r="29" spans="2:23" ht="15" customHeight="1" x14ac:dyDescent="0.25">
      <c r="B29" s="348"/>
      <c r="C29" s="2" t="s">
        <v>530</v>
      </c>
      <c r="D29" s="2" t="s">
        <v>530</v>
      </c>
      <c r="E29" s="324"/>
      <c r="F29" s="141"/>
      <c r="G29" s="321"/>
      <c r="H29" s="341"/>
      <c r="J29" s="329"/>
      <c r="K29" s="30" t="s">
        <v>757</v>
      </c>
      <c r="L29" s="30" t="s">
        <v>757</v>
      </c>
      <c r="M29" s="324"/>
      <c r="N29" s="141"/>
      <c r="O29" s="321"/>
      <c r="P29" s="341"/>
      <c r="R29" s="329"/>
      <c r="S29" s="30" t="s">
        <v>1044</v>
      </c>
      <c r="T29" s="30" t="s">
        <v>1044</v>
      </c>
      <c r="U29" s="324"/>
      <c r="V29" s="326"/>
      <c r="W29" s="321"/>
    </row>
    <row r="30" spans="2:23" ht="18.75" x14ac:dyDescent="0.25">
      <c r="B30" s="348" t="s">
        <v>533</v>
      </c>
      <c r="C30" s="2">
        <v>250</v>
      </c>
      <c r="D30" s="28">
        <v>1500</v>
      </c>
      <c r="E30" s="324" t="s">
        <v>361</v>
      </c>
      <c r="F30" s="140" t="s">
        <v>531</v>
      </c>
      <c r="G30" s="320"/>
      <c r="H30" s="346" t="s">
        <v>506</v>
      </c>
      <c r="J30" s="140" t="s">
        <v>228</v>
      </c>
      <c r="K30" s="28" t="s">
        <v>717</v>
      </c>
      <c r="L30" s="2" t="s">
        <v>765</v>
      </c>
      <c r="M30" s="250" t="s">
        <v>361</v>
      </c>
      <c r="N30" s="75" t="s">
        <v>766</v>
      </c>
      <c r="R30" s="329" t="s">
        <v>1046</v>
      </c>
      <c r="S30" s="30">
        <v>250</v>
      </c>
      <c r="T30" s="30">
        <v>1500</v>
      </c>
      <c r="U30" s="323" t="s">
        <v>1045</v>
      </c>
      <c r="V30" s="325" t="s">
        <v>672</v>
      </c>
      <c r="W30" s="320"/>
    </row>
    <row r="31" spans="2:23" ht="15" customHeight="1" x14ac:dyDescent="0.25">
      <c r="B31" s="348"/>
      <c r="C31" s="2" t="s">
        <v>534</v>
      </c>
      <c r="D31" s="2" t="s">
        <v>534</v>
      </c>
      <c r="E31" s="324"/>
      <c r="F31" s="141"/>
      <c r="G31" s="321"/>
      <c r="H31" s="347"/>
      <c r="J31" s="141"/>
      <c r="K31" s="2" t="s">
        <v>764</v>
      </c>
      <c r="L31" s="2" t="s">
        <v>764</v>
      </c>
      <c r="M31" s="225"/>
      <c r="N31" s="75" t="s">
        <v>767</v>
      </c>
      <c r="R31" s="329"/>
      <c r="S31" s="30" t="s">
        <v>1047</v>
      </c>
      <c r="T31" s="30" t="s">
        <v>1047</v>
      </c>
      <c r="U31" s="324"/>
      <c r="V31" s="326"/>
      <c r="W31" s="321"/>
    </row>
    <row r="32" spans="2:23" ht="18.75" x14ac:dyDescent="0.25">
      <c r="B32" s="348" t="s">
        <v>535</v>
      </c>
      <c r="C32" s="2">
        <v>250</v>
      </c>
      <c r="D32" s="28">
        <v>1500</v>
      </c>
      <c r="E32" s="324" t="s">
        <v>361</v>
      </c>
      <c r="F32" s="140" t="s">
        <v>531</v>
      </c>
      <c r="G32" s="320"/>
      <c r="H32" s="340" t="s">
        <v>505</v>
      </c>
      <c r="R32" s="329" t="s">
        <v>1048</v>
      </c>
      <c r="S32" s="30">
        <v>250</v>
      </c>
      <c r="T32" s="30">
        <v>1500</v>
      </c>
      <c r="U32" s="323" t="s">
        <v>1045</v>
      </c>
      <c r="V32" s="325" t="s">
        <v>672</v>
      </c>
      <c r="W32" s="320"/>
    </row>
    <row r="33" spans="2:23" ht="15" customHeight="1" x14ac:dyDescent="0.25">
      <c r="B33" s="348"/>
      <c r="C33" s="2" t="s">
        <v>536</v>
      </c>
      <c r="D33" s="2" t="s">
        <v>536</v>
      </c>
      <c r="E33" s="324"/>
      <c r="F33" s="141"/>
      <c r="G33" s="321"/>
      <c r="H33" s="341"/>
      <c r="R33" s="329"/>
      <c r="S33" s="30" t="s">
        <v>1049</v>
      </c>
      <c r="T33" s="30" t="s">
        <v>1049</v>
      </c>
      <c r="U33" s="324"/>
      <c r="V33" s="326"/>
      <c r="W33" s="321"/>
    </row>
    <row r="34" spans="2:23" ht="18.75" x14ac:dyDescent="0.25">
      <c r="B34" s="348" t="s">
        <v>537</v>
      </c>
      <c r="C34" s="2">
        <v>250</v>
      </c>
      <c r="D34" s="28">
        <v>2000</v>
      </c>
      <c r="E34" s="324" t="s">
        <v>398</v>
      </c>
      <c r="F34" s="140" t="s">
        <v>538</v>
      </c>
      <c r="G34" s="320" t="s">
        <v>539</v>
      </c>
      <c r="H34" s="196"/>
      <c r="R34" s="329" t="s">
        <v>1050</v>
      </c>
      <c r="S34" s="30"/>
      <c r="T34" s="30">
        <v>2000</v>
      </c>
      <c r="U34" s="330" t="s">
        <v>934</v>
      </c>
      <c r="V34" s="325" t="s">
        <v>1051</v>
      </c>
      <c r="W34" s="320"/>
    </row>
    <row r="35" spans="2:23" ht="15.75" customHeight="1" x14ac:dyDescent="0.25">
      <c r="B35" s="348"/>
      <c r="C35" s="2" t="s">
        <v>265</v>
      </c>
      <c r="D35" s="2" t="s">
        <v>265</v>
      </c>
      <c r="E35" s="324"/>
      <c r="F35" s="141"/>
      <c r="G35" s="321"/>
      <c r="H35" s="197"/>
      <c r="R35" s="329"/>
      <c r="S35" s="30"/>
      <c r="T35" s="30" t="s">
        <v>1049</v>
      </c>
      <c r="U35" s="331"/>
      <c r="V35" s="326"/>
      <c r="W35" s="321"/>
    </row>
    <row r="36" spans="2:23" ht="18.75" x14ac:dyDescent="0.25">
      <c r="B36" s="348" t="s">
        <v>537</v>
      </c>
      <c r="C36" s="2">
        <v>250</v>
      </c>
      <c r="D36" s="28">
        <v>2000</v>
      </c>
      <c r="E36" s="324" t="s">
        <v>398</v>
      </c>
      <c r="F36" s="140" t="s">
        <v>540</v>
      </c>
      <c r="G36" s="320" t="s">
        <v>539</v>
      </c>
      <c r="H36" s="196"/>
      <c r="R36" s="329" t="s">
        <v>969</v>
      </c>
      <c r="S36" s="30">
        <v>250</v>
      </c>
      <c r="T36" s="30">
        <v>2000</v>
      </c>
      <c r="U36" s="323" t="s">
        <v>388</v>
      </c>
      <c r="V36" s="325" t="s">
        <v>913</v>
      </c>
      <c r="W36" s="320"/>
    </row>
    <row r="37" spans="2:23" ht="15" customHeight="1" x14ac:dyDescent="0.25">
      <c r="B37" s="348"/>
      <c r="C37" s="2" t="s">
        <v>265</v>
      </c>
      <c r="D37" s="2" t="s">
        <v>265</v>
      </c>
      <c r="E37" s="324"/>
      <c r="F37" s="141"/>
      <c r="G37" s="321"/>
      <c r="H37" s="197"/>
      <c r="K37" s="354"/>
      <c r="L37" s="354"/>
      <c r="M37" s="354"/>
      <c r="N37" s="354"/>
      <c r="O37" s="354"/>
      <c r="R37" s="329"/>
      <c r="S37" s="30" t="s">
        <v>1039</v>
      </c>
      <c r="T37" s="30" t="s">
        <v>1039</v>
      </c>
      <c r="U37" s="324"/>
      <c r="V37" s="326"/>
      <c r="W37" s="321"/>
    </row>
    <row r="38" spans="2:23" ht="18.75" x14ac:dyDescent="0.25">
      <c r="B38" s="348" t="s">
        <v>541</v>
      </c>
      <c r="C38" s="2">
        <v>250</v>
      </c>
      <c r="D38" s="28">
        <v>2000</v>
      </c>
      <c r="E38" s="324"/>
      <c r="F38" s="140" t="s">
        <v>543</v>
      </c>
      <c r="G38" s="320" t="s">
        <v>544</v>
      </c>
      <c r="H38" s="196"/>
      <c r="J38" s="329" t="s">
        <v>758</v>
      </c>
      <c r="K38" s="30">
        <v>250</v>
      </c>
      <c r="L38" s="30">
        <v>1500</v>
      </c>
      <c r="M38" s="324" t="s">
        <v>361</v>
      </c>
      <c r="N38" s="140" t="s">
        <v>672</v>
      </c>
      <c r="O38" s="320" t="s">
        <v>667</v>
      </c>
      <c r="P38" s="346"/>
      <c r="R38" s="322" t="s">
        <v>1091</v>
      </c>
      <c r="S38" s="51">
        <v>150</v>
      </c>
      <c r="T38" s="30">
        <v>2000</v>
      </c>
      <c r="U38" s="323" t="s">
        <v>1093</v>
      </c>
      <c r="V38" s="325" t="s">
        <v>1094</v>
      </c>
      <c r="W38" s="320"/>
    </row>
    <row r="39" spans="2:23" ht="15.75" customHeight="1" x14ac:dyDescent="0.25">
      <c r="B39" s="348"/>
      <c r="C39" s="2" t="s">
        <v>542</v>
      </c>
      <c r="D39" s="2" t="s">
        <v>542</v>
      </c>
      <c r="E39" s="324"/>
      <c r="F39" s="141"/>
      <c r="G39" s="321"/>
      <c r="H39" s="197"/>
      <c r="J39" s="329"/>
      <c r="K39" s="30" t="s">
        <v>759</v>
      </c>
      <c r="L39" s="30" t="s">
        <v>757</v>
      </c>
      <c r="M39" s="324"/>
      <c r="N39" s="141"/>
      <c r="O39" s="321"/>
      <c r="P39" s="347"/>
      <c r="R39" s="321"/>
      <c r="S39" s="51" t="s">
        <v>1092</v>
      </c>
      <c r="T39" s="51" t="s">
        <v>1092</v>
      </c>
      <c r="U39" s="324"/>
      <c r="V39" s="326"/>
      <c r="W39" s="321"/>
    </row>
    <row r="40" spans="2:23" ht="18.75" x14ac:dyDescent="0.25">
      <c r="B40" s="348" t="s">
        <v>545</v>
      </c>
      <c r="C40" s="2">
        <v>250</v>
      </c>
      <c r="D40" s="28">
        <v>2000</v>
      </c>
      <c r="E40" s="324"/>
      <c r="F40" s="140" t="s">
        <v>547</v>
      </c>
      <c r="G40" s="320" t="s">
        <v>548</v>
      </c>
      <c r="H40" s="196"/>
      <c r="J40" s="140" t="s">
        <v>228</v>
      </c>
      <c r="K40" s="28" t="s">
        <v>717</v>
      </c>
      <c r="L40" s="2" t="s">
        <v>765</v>
      </c>
      <c r="M40" s="250" t="s">
        <v>361</v>
      </c>
      <c r="N40" s="75" t="s">
        <v>766</v>
      </c>
      <c r="O40" s="76"/>
      <c r="P40" s="77" t="s">
        <v>678</v>
      </c>
      <c r="R40" s="332" t="s">
        <v>1293</v>
      </c>
      <c r="S40" s="51">
        <v>250</v>
      </c>
      <c r="T40" s="30">
        <v>1500</v>
      </c>
      <c r="U40" s="323" t="s">
        <v>1096</v>
      </c>
      <c r="V40" s="325" t="s">
        <v>1097</v>
      </c>
      <c r="W40" s="320"/>
    </row>
    <row r="41" spans="2:23" ht="15.75" customHeight="1" x14ac:dyDescent="0.25">
      <c r="B41" s="348"/>
      <c r="C41" s="2" t="s">
        <v>546</v>
      </c>
      <c r="D41" s="2" t="s">
        <v>546</v>
      </c>
      <c r="E41" s="324"/>
      <c r="F41" s="141"/>
      <c r="G41" s="321"/>
      <c r="H41" s="197"/>
      <c r="J41" s="141"/>
      <c r="K41" s="2" t="s">
        <v>764</v>
      </c>
      <c r="L41" s="2" t="s">
        <v>764</v>
      </c>
      <c r="M41" s="225"/>
      <c r="N41" s="75" t="s">
        <v>767</v>
      </c>
      <c r="O41" s="76"/>
      <c r="P41" s="77" t="s">
        <v>667</v>
      </c>
      <c r="R41" s="333"/>
      <c r="S41" s="51" t="s">
        <v>1095</v>
      </c>
      <c r="T41" s="51" t="s">
        <v>1095</v>
      </c>
      <c r="U41" s="324"/>
      <c r="V41" s="326"/>
      <c r="W41" s="321"/>
    </row>
    <row r="42" spans="2:23" ht="18.75" x14ac:dyDescent="0.25">
      <c r="B42" s="348" t="s">
        <v>545</v>
      </c>
      <c r="C42" s="2">
        <v>250</v>
      </c>
      <c r="D42" s="28">
        <v>2000</v>
      </c>
      <c r="E42" s="324"/>
      <c r="F42" s="140" t="s">
        <v>549</v>
      </c>
      <c r="G42" s="320" t="s">
        <v>548</v>
      </c>
      <c r="H42" s="196"/>
      <c r="J42" s="168" t="s">
        <v>154</v>
      </c>
      <c r="K42" s="2">
        <v>250</v>
      </c>
      <c r="L42" s="2">
        <v>750</v>
      </c>
      <c r="M42" s="2"/>
      <c r="N42" s="140" t="s">
        <v>789</v>
      </c>
      <c r="O42" s="320"/>
      <c r="P42" s="196"/>
      <c r="R42" s="332" t="s">
        <v>1098</v>
      </c>
      <c r="S42" s="51">
        <v>250</v>
      </c>
      <c r="T42" s="3"/>
      <c r="U42" s="323" t="s">
        <v>1100</v>
      </c>
      <c r="V42" s="325" t="s">
        <v>1097</v>
      </c>
      <c r="W42" s="320"/>
    </row>
    <row r="43" spans="2:23" ht="15" customHeight="1" x14ac:dyDescent="0.25">
      <c r="B43" s="348"/>
      <c r="C43" s="2" t="s">
        <v>546</v>
      </c>
      <c r="D43" s="2" t="s">
        <v>546</v>
      </c>
      <c r="E43" s="324"/>
      <c r="F43" s="141"/>
      <c r="G43" s="321"/>
      <c r="H43" s="197"/>
      <c r="J43" s="169"/>
      <c r="K43" s="2" t="s">
        <v>120</v>
      </c>
      <c r="L43" s="2" t="s">
        <v>120</v>
      </c>
      <c r="M43" s="2"/>
      <c r="N43" s="141"/>
      <c r="O43" s="321"/>
      <c r="P43" s="197"/>
      <c r="R43" s="333"/>
      <c r="S43" s="51" t="s">
        <v>1099</v>
      </c>
      <c r="T43" s="3"/>
      <c r="U43" s="324"/>
      <c r="V43" s="326"/>
      <c r="W43" s="321"/>
    </row>
    <row r="44" spans="2:23" ht="18.75" x14ac:dyDescent="0.25">
      <c r="B44" s="348" t="s">
        <v>454</v>
      </c>
      <c r="C44" s="28">
        <v>250</v>
      </c>
      <c r="D44" s="28">
        <v>1500</v>
      </c>
      <c r="E44" s="324" t="s">
        <v>553</v>
      </c>
      <c r="F44" s="140" t="s">
        <v>551</v>
      </c>
      <c r="G44" s="320"/>
      <c r="H44" s="346" t="s">
        <v>506</v>
      </c>
      <c r="J44" s="329" t="s">
        <v>762</v>
      </c>
      <c r="K44" s="2">
        <v>250</v>
      </c>
      <c r="L44" s="30">
        <v>2000</v>
      </c>
      <c r="M44" s="324" t="s">
        <v>388</v>
      </c>
      <c r="N44" s="140" t="s">
        <v>888</v>
      </c>
      <c r="O44" s="320" t="s">
        <v>891</v>
      </c>
      <c r="P44" s="346"/>
      <c r="R44" s="332" t="s">
        <v>1101</v>
      </c>
      <c r="S44" s="51">
        <v>500</v>
      </c>
      <c r="T44" s="30">
        <v>1500</v>
      </c>
      <c r="U44" s="323" t="s">
        <v>1100</v>
      </c>
      <c r="V44" s="325" t="s">
        <v>1097</v>
      </c>
      <c r="W44" s="320"/>
    </row>
    <row r="45" spans="2:23" ht="15" customHeight="1" x14ac:dyDescent="0.25">
      <c r="B45" s="348"/>
      <c r="C45" s="2" t="s">
        <v>550</v>
      </c>
      <c r="D45" s="2" t="s">
        <v>550</v>
      </c>
      <c r="E45" s="324"/>
      <c r="F45" s="141"/>
      <c r="G45" s="321"/>
      <c r="H45" s="347"/>
      <c r="J45" s="329"/>
      <c r="K45" s="2" t="s">
        <v>887</v>
      </c>
      <c r="L45" s="2" t="s">
        <v>887</v>
      </c>
      <c r="M45" s="324"/>
      <c r="N45" s="141"/>
      <c r="O45" s="321"/>
      <c r="P45" s="347"/>
      <c r="R45" s="333"/>
      <c r="S45" s="51" t="s">
        <v>1102</v>
      </c>
      <c r="T45" s="30" t="s">
        <v>1102</v>
      </c>
      <c r="U45" s="324"/>
      <c r="V45" s="326"/>
      <c r="W45" s="321"/>
    </row>
    <row r="46" spans="2:23" ht="18.75" x14ac:dyDescent="0.25">
      <c r="B46" s="348" t="s">
        <v>454</v>
      </c>
      <c r="C46" s="28">
        <v>250</v>
      </c>
      <c r="D46" s="28">
        <v>1500</v>
      </c>
      <c r="E46" s="324" t="s">
        <v>553</v>
      </c>
      <c r="F46" s="140" t="s">
        <v>552</v>
      </c>
      <c r="G46" s="320"/>
      <c r="H46" s="340" t="s">
        <v>505</v>
      </c>
      <c r="J46" s="329" t="s">
        <v>889</v>
      </c>
      <c r="K46" s="2">
        <v>250</v>
      </c>
      <c r="L46" s="2">
        <v>2000</v>
      </c>
      <c r="M46" s="324" t="s">
        <v>388</v>
      </c>
      <c r="N46" s="140" t="s">
        <v>890</v>
      </c>
      <c r="O46" s="320" t="s">
        <v>894</v>
      </c>
      <c r="P46" s="340"/>
      <c r="R46" s="332" t="s">
        <v>1103</v>
      </c>
      <c r="S46" s="2">
        <v>250</v>
      </c>
      <c r="T46" s="30">
        <v>1500</v>
      </c>
      <c r="U46" s="323" t="s">
        <v>1105</v>
      </c>
      <c r="V46" s="325" t="s">
        <v>1097</v>
      </c>
      <c r="W46" s="320"/>
    </row>
    <row r="47" spans="2:23" ht="15" customHeight="1" x14ac:dyDescent="0.25">
      <c r="B47" s="348"/>
      <c r="C47" s="2" t="s">
        <v>550</v>
      </c>
      <c r="D47" s="2" t="s">
        <v>550</v>
      </c>
      <c r="E47" s="324"/>
      <c r="F47" s="141"/>
      <c r="G47" s="321"/>
      <c r="H47" s="341"/>
      <c r="J47" s="329"/>
      <c r="K47" s="2" t="s">
        <v>887</v>
      </c>
      <c r="L47" s="2" t="s">
        <v>887</v>
      </c>
      <c r="M47" s="324"/>
      <c r="N47" s="141"/>
      <c r="O47" s="321"/>
      <c r="P47" s="341"/>
      <c r="R47" s="333"/>
      <c r="S47" s="2" t="s">
        <v>243</v>
      </c>
      <c r="T47" s="30" t="s">
        <v>1104</v>
      </c>
      <c r="U47" s="324"/>
      <c r="V47" s="326"/>
      <c r="W47" s="321"/>
    </row>
    <row r="48" spans="2:23" ht="18.75" x14ac:dyDescent="0.25">
      <c r="B48" s="348" t="s">
        <v>554</v>
      </c>
      <c r="C48" s="28">
        <v>250</v>
      </c>
      <c r="D48" s="28">
        <v>1500</v>
      </c>
      <c r="E48" s="324" t="s">
        <v>553</v>
      </c>
      <c r="F48" s="140" t="s">
        <v>551</v>
      </c>
      <c r="G48" s="320"/>
      <c r="H48" s="196"/>
      <c r="J48" s="140" t="s">
        <v>898</v>
      </c>
      <c r="K48" s="51">
        <v>250</v>
      </c>
      <c r="L48" s="51">
        <v>1500</v>
      </c>
      <c r="M48" s="250" t="s">
        <v>902</v>
      </c>
      <c r="N48" s="140" t="s">
        <v>672</v>
      </c>
      <c r="O48" s="320"/>
      <c r="P48" s="196"/>
      <c r="R48" s="332" t="s">
        <v>1106</v>
      </c>
      <c r="S48" s="51">
        <v>250</v>
      </c>
      <c r="T48" s="30">
        <v>2000</v>
      </c>
      <c r="U48" s="323" t="s">
        <v>934</v>
      </c>
      <c r="V48" s="325" t="s">
        <v>549</v>
      </c>
      <c r="W48" s="320"/>
    </row>
    <row r="49" spans="2:23" ht="15" customHeight="1" x14ac:dyDescent="0.25">
      <c r="B49" s="348"/>
      <c r="C49" s="2" t="s">
        <v>555</v>
      </c>
      <c r="D49" s="2" t="s">
        <v>555</v>
      </c>
      <c r="E49" s="324"/>
      <c r="F49" s="141"/>
      <c r="G49" s="321"/>
      <c r="H49" s="197"/>
      <c r="J49" s="141"/>
      <c r="K49" s="51" t="s">
        <v>899</v>
      </c>
      <c r="L49" s="51" t="s">
        <v>899</v>
      </c>
      <c r="M49" s="225"/>
      <c r="N49" s="141"/>
      <c r="O49" s="321"/>
      <c r="P49" s="197"/>
      <c r="R49" s="333"/>
      <c r="S49" s="51" t="s">
        <v>1107</v>
      </c>
      <c r="T49" s="30" t="s">
        <v>1107</v>
      </c>
      <c r="U49" s="324"/>
      <c r="V49" s="326"/>
      <c r="W49" s="321"/>
    </row>
    <row r="50" spans="2:23" ht="18.75" x14ac:dyDescent="0.25">
      <c r="B50" s="348" t="s">
        <v>516</v>
      </c>
      <c r="C50" s="28">
        <v>250</v>
      </c>
      <c r="D50" s="28"/>
      <c r="E50" s="324" t="s">
        <v>398</v>
      </c>
      <c r="F50" s="140" t="s">
        <v>556</v>
      </c>
      <c r="G50" s="320" t="s">
        <v>557</v>
      </c>
      <c r="H50" s="196"/>
      <c r="J50" s="329" t="s">
        <v>787</v>
      </c>
      <c r="K50" s="2">
        <v>250</v>
      </c>
      <c r="L50" s="30">
        <v>2000</v>
      </c>
      <c r="M50" s="323" t="s">
        <v>893</v>
      </c>
      <c r="N50" s="140" t="s">
        <v>890</v>
      </c>
      <c r="O50" s="196"/>
      <c r="P50" s="196"/>
      <c r="R50" s="332" t="s">
        <v>1294</v>
      </c>
      <c r="S50" s="51">
        <v>250</v>
      </c>
      <c r="T50" s="30">
        <v>2000</v>
      </c>
      <c r="U50" s="323"/>
      <c r="V50" s="325" t="s">
        <v>888</v>
      </c>
      <c r="W50" s="320"/>
    </row>
    <row r="51" spans="2:23" ht="15.75" customHeight="1" x14ac:dyDescent="0.25">
      <c r="B51" s="348"/>
      <c r="C51" s="2" t="s">
        <v>560</v>
      </c>
      <c r="D51" s="33"/>
      <c r="E51" s="324"/>
      <c r="F51" s="141"/>
      <c r="G51" s="321"/>
      <c r="H51" s="197"/>
      <c r="J51" s="329"/>
      <c r="K51" s="2" t="s">
        <v>892</v>
      </c>
      <c r="L51" s="2" t="s">
        <v>892</v>
      </c>
      <c r="M51" s="324"/>
      <c r="N51" s="141"/>
      <c r="O51" s="197"/>
      <c r="P51" s="359"/>
      <c r="R51" s="333"/>
      <c r="S51" s="51" t="s">
        <v>1295</v>
      </c>
      <c r="T51" s="51" t="s">
        <v>1295</v>
      </c>
      <c r="U51" s="324"/>
      <c r="V51" s="326"/>
      <c r="W51" s="321"/>
    </row>
    <row r="52" spans="2:23" ht="18.75" x14ac:dyDescent="0.25">
      <c r="B52" s="348" t="s">
        <v>558</v>
      </c>
      <c r="C52" s="28">
        <v>250</v>
      </c>
      <c r="D52" s="28"/>
      <c r="E52" s="324" t="s">
        <v>553</v>
      </c>
      <c r="F52" s="140" t="s">
        <v>551</v>
      </c>
      <c r="G52" s="320"/>
      <c r="H52" s="346" t="s">
        <v>506</v>
      </c>
      <c r="J52" s="140" t="s">
        <v>496</v>
      </c>
      <c r="K52" s="51">
        <v>250</v>
      </c>
      <c r="L52" s="30"/>
      <c r="M52" s="323" t="s">
        <v>902</v>
      </c>
      <c r="N52" s="140" t="s">
        <v>767</v>
      </c>
      <c r="O52" s="196"/>
      <c r="P52" s="196"/>
      <c r="R52" s="332" t="s">
        <v>1296</v>
      </c>
      <c r="S52" s="51">
        <v>500</v>
      </c>
      <c r="T52" s="30">
        <v>4000</v>
      </c>
      <c r="U52" s="323" t="s">
        <v>1298</v>
      </c>
      <c r="V52" s="325" t="s">
        <v>1299</v>
      </c>
      <c r="W52" s="320"/>
    </row>
    <row r="53" spans="2:23" ht="15" customHeight="1" x14ac:dyDescent="0.25">
      <c r="B53" s="348"/>
      <c r="C53" s="2" t="s">
        <v>559</v>
      </c>
      <c r="D53" s="33"/>
      <c r="E53" s="324"/>
      <c r="F53" s="141"/>
      <c r="G53" s="321"/>
      <c r="H53" s="347"/>
      <c r="J53" s="141"/>
      <c r="K53" s="51" t="s">
        <v>497</v>
      </c>
      <c r="L53" s="30"/>
      <c r="M53" s="324"/>
      <c r="N53" s="141"/>
      <c r="O53" s="197"/>
      <c r="P53" s="359"/>
      <c r="R53" s="333"/>
      <c r="S53" s="51" t="s">
        <v>1297</v>
      </c>
      <c r="T53" s="51" t="s">
        <v>1297</v>
      </c>
      <c r="U53" s="324"/>
      <c r="V53" s="326"/>
      <c r="W53" s="321"/>
    </row>
    <row r="54" spans="2:23" ht="18.75" x14ac:dyDescent="0.25">
      <c r="B54" s="348" t="s">
        <v>561</v>
      </c>
      <c r="C54" s="28">
        <v>250</v>
      </c>
      <c r="D54" s="28">
        <v>1500</v>
      </c>
      <c r="E54" s="324" t="s">
        <v>563</v>
      </c>
      <c r="F54" s="140" t="s">
        <v>551</v>
      </c>
      <c r="G54" s="320"/>
      <c r="H54" s="196" t="s">
        <v>565</v>
      </c>
      <c r="J54" s="140" t="s">
        <v>501</v>
      </c>
      <c r="K54" s="51">
        <v>250</v>
      </c>
      <c r="L54" s="30"/>
      <c r="M54" s="323" t="s">
        <v>902</v>
      </c>
      <c r="N54" s="140" t="s">
        <v>767</v>
      </c>
      <c r="O54" s="360" t="s">
        <v>503</v>
      </c>
      <c r="P54" s="196"/>
      <c r="R54" s="332" t="s">
        <v>1300</v>
      </c>
      <c r="S54" s="51"/>
      <c r="T54" s="30">
        <v>2500</v>
      </c>
      <c r="U54" s="323" t="s">
        <v>54</v>
      </c>
      <c r="V54" s="325" t="s">
        <v>549</v>
      </c>
      <c r="W54" s="320"/>
    </row>
    <row r="55" spans="2:23" ht="15" customHeight="1" x14ac:dyDescent="0.25">
      <c r="B55" s="348"/>
      <c r="C55" s="2" t="s">
        <v>562</v>
      </c>
      <c r="D55" s="2" t="s">
        <v>562</v>
      </c>
      <c r="E55" s="324"/>
      <c r="F55" s="141"/>
      <c r="G55" s="321"/>
      <c r="H55" s="197"/>
      <c r="J55" s="141"/>
      <c r="K55" s="51" t="s">
        <v>502</v>
      </c>
      <c r="L55" s="30"/>
      <c r="M55" s="324"/>
      <c r="N55" s="141"/>
      <c r="O55" s="361"/>
      <c r="P55" s="359"/>
      <c r="R55" s="333"/>
      <c r="S55" s="51"/>
      <c r="T55" s="51" t="s">
        <v>1301</v>
      </c>
      <c r="U55" s="324"/>
      <c r="V55" s="327"/>
      <c r="W55" s="328"/>
    </row>
    <row r="56" spans="2:23" ht="18.75" x14ac:dyDescent="0.25">
      <c r="B56" s="348" t="s">
        <v>561</v>
      </c>
      <c r="C56" s="28">
        <v>250</v>
      </c>
      <c r="D56" s="28">
        <v>1500</v>
      </c>
      <c r="E56" s="324" t="s">
        <v>563</v>
      </c>
      <c r="F56" s="140" t="s">
        <v>564</v>
      </c>
      <c r="G56" s="320"/>
      <c r="H56" s="196"/>
      <c r="J56" s="168" t="s">
        <v>1108</v>
      </c>
      <c r="K56" s="51">
        <v>250</v>
      </c>
      <c r="L56" s="3"/>
      <c r="M56" s="323" t="s">
        <v>1110</v>
      </c>
      <c r="N56" s="140" t="s">
        <v>1111</v>
      </c>
      <c r="O56" s="360"/>
      <c r="P56" s="196"/>
      <c r="R56" s="168"/>
      <c r="S56" s="51"/>
      <c r="T56" s="30"/>
      <c r="U56" s="323"/>
      <c r="V56" s="325"/>
      <c r="W56" s="370"/>
    </row>
    <row r="57" spans="2:23" ht="15" customHeight="1" x14ac:dyDescent="0.25">
      <c r="B57" s="348"/>
      <c r="C57" s="2" t="s">
        <v>562</v>
      </c>
      <c r="D57" s="2" t="s">
        <v>562</v>
      </c>
      <c r="E57" s="324"/>
      <c r="F57" s="141"/>
      <c r="G57" s="321"/>
      <c r="H57" s="197"/>
      <c r="J57" s="141"/>
      <c r="K57" s="51" t="s">
        <v>1109</v>
      </c>
      <c r="L57" s="51"/>
      <c r="M57" s="324"/>
      <c r="N57" s="141"/>
      <c r="O57" s="361"/>
      <c r="P57" s="359"/>
      <c r="R57" s="141"/>
      <c r="S57" s="51"/>
      <c r="T57" s="30"/>
      <c r="U57" s="324"/>
      <c r="V57" s="327"/>
      <c r="W57" s="370"/>
    </row>
    <row r="58" spans="2:23" ht="15" customHeight="1" x14ac:dyDescent="0.25">
      <c r="B58" s="348" t="s">
        <v>566</v>
      </c>
      <c r="C58" s="28">
        <v>250</v>
      </c>
      <c r="D58" s="28">
        <v>1500</v>
      </c>
      <c r="E58" s="324" t="s">
        <v>553</v>
      </c>
      <c r="F58" s="140" t="s">
        <v>551</v>
      </c>
      <c r="H58" s="346" t="s">
        <v>506</v>
      </c>
      <c r="J58" s="329"/>
      <c r="K58" s="30"/>
      <c r="L58" s="30"/>
      <c r="M58" s="324"/>
      <c r="N58" s="140"/>
      <c r="O58" s="356"/>
      <c r="P58" s="55"/>
      <c r="R58" s="168"/>
      <c r="S58" s="51"/>
      <c r="T58" s="30"/>
      <c r="U58" s="323"/>
      <c r="V58" s="325"/>
      <c r="W58" s="320"/>
    </row>
    <row r="59" spans="2:23" ht="15" customHeight="1" x14ac:dyDescent="0.25">
      <c r="B59" s="348"/>
      <c r="C59" s="2" t="s">
        <v>567</v>
      </c>
      <c r="D59" s="2" t="s">
        <v>567</v>
      </c>
      <c r="E59" s="324"/>
      <c r="F59" s="141"/>
      <c r="H59" s="347"/>
      <c r="J59" s="329"/>
      <c r="K59" s="51"/>
      <c r="L59" s="51"/>
      <c r="M59" s="324"/>
      <c r="N59" s="141"/>
      <c r="O59" s="357"/>
      <c r="P59" s="55"/>
      <c r="R59" s="141"/>
      <c r="S59" s="51"/>
      <c r="T59" s="30"/>
      <c r="U59" s="324"/>
      <c r="V59" s="326"/>
      <c r="W59" s="321"/>
    </row>
    <row r="60" spans="2:23" ht="15.75" x14ac:dyDescent="0.25">
      <c r="B60" s="350" t="s">
        <v>569</v>
      </c>
      <c r="C60" s="350">
        <v>6000</v>
      </c>
      <c r="D60" s="350">
        <v>33500</v>
      </c>
      <c r="E60" s="350">
        <v>39500</v>
      </c>
      <c r="G60" s="320"/>
      <c r="P60" s="358"/>
      <c r="R60" s="168"/>
      <c r="S60" s="51"/>
      <c r="T60" s="30"/>
      <c r="U60" s="323"/>
      <c r="V60" s="325"/>
      <c r="W60" s="320"/>
    </row>
    <row r="61" spans="2:23" ht="15" customHeight="1" x14ac:dyDescent="0.25">
      <c r="B61" s="351"/>
      <c r="C61" s="351"/>
      <c r="D61" s="351"/>
      <c r="E61" s="351"/>
      <c r="G61" s="321"/>
      <c r="P61" s="358"/>
      <c r="R61" s="141"/>
      <c r="S61" s="51"/>
      <c r="T61" s="30"/>
      <c r="U61" s="324"/>
      <c r="V61" s="326"/>
      <c r="W61" s="321"/>
    </row>
    <row r="62" spans="2:23" ht="15" customHeight="1" x14ac:dyDescent="0.25">
      <c r="R62" s="350" t="s">
        <v>569</v>
      </c>
      <c r="S62" s="368">
        <v>5900</v>
      </c>
      <c r="T62" s="368">
        <v>49500</v>
      </c>
      <c r="U62" s="350"/>
      <c r="V62" s="350"/>
      <c r="W62" s="366" t="s">
        <v>1303</v>
      </c>
    </row>
    <row r="63" spans="2:23" ht="15" customHeight="1" x14ac:dyDescent="0.25">
      <c r="R63" s="351"/>
      <c r="S63" s="369"/>
      <c r="T63" s="369"/>
      <c r="U63" s="351"/>
      <c r="V63" s="351"/>
      <c r="W63" s="351"/>
    </row>
    <row r="64" spans="2:23" x14ac:dyDescent="0.25">
      <c r="W64" s="367"/>
    </row>
    <row r="65" spans="18:23" x14ac:dyDescent="0.25">
      <c r="W65" s="367"/>
    </row>
    <row r="66" spans="18:23" x14ac:dyDescent="0.25">
      <c r="W66" s="365"/>
    </row>
    <row r="67" spans="18:23" x14ac:dyDescent="0.25">
      <c r="W67" s="365"/>
    </row>
    <row r="68" spans="18:23" x14ac:dyDescent="0.25">
      <c r="W68" s="367"/>
    </row>
    <row r="69" spans="18:23" x14ac:dyDescent="0.25">
      <c r="W69" s="367"/>
    </row>
    <row r="70" spans="18:23" x14ac:dyDescent="0.25">
      <c r="W70" s="367"/>
    </row>
    <row r="71" spans="18:23" x14ac:dyDescent="0.25">
      <c r="W71" s="367"/>
    </row>
    <row r="72" spans="18:23" x14ac:dyDescent="0.25">
      <c r="R72" s="362"/>
      <c r="S72" s="363"/>
      <c r="T72" s="363"/>
      <c r="U72" s="362"/>
    </row>
    <row r="73" spans="18:23" x14ac:dyDescent="0.25">
      <c r="R73" s="351"/>
      <c r="S73" s="364"/>
      <c r="T73" s="364"/>
      <c r="U73" s="351"/>
    </row>
    <row r="79" spans="18:23" ht="21" x14ac:dyDescent="0.25">
      <c r="R79" s="68" t="s">
        <v>0</v>
      </c>
      <c r="S79" s="7" t="s">
        <v>1</v>
      </c>
      <c r="T79" s="7" t="s">
        <v>2</v>
      </c>
      <c r="U79" s="7" t="s">
        <v>3</v>
      </c>
    </row>
    <row r="80" spans="18:23" x14ac:dyDescent="0.25">
      <c r="R80" s="94" t="s">
        <v>152</v>
      </c>
      <c r="S80" s="12" t="s">
        <v>153</v>
      </c>
      <c r="T80" s="2"/>
      <c r="U80" s="2">
        <v>625</v>
      </c>
    </row>
    <row r="81" spans="18:21" x14ac:dyDescent="0.25">
      <c r="R81" s="95"/>
      <c r="S81" s="13"/>
      <c r="T81" s="2"/>
      <c r="U81" s="2" t="s">
        <v>615</v>
      </c>
    </row>
    <row r="82" spans="18:21" x14ac:dyDescent="0.25">
      <c r="R82" s="94" t="s">
        <v>154</v>
      </c>
      <c r="S82" s="12" t="s">
        <v>119</v>
      </c>
      <c r="T82" s="2"/>
      <c r="U82" s="2">
        <v>0</v>
      </c>
    </row>
    <row r="83" spans="18:21" x14ac:dyDescent="0.25">
      <c r="R83" s="95"/>
      <c r="S83" s="13"/>
      <c r="T83" s="2"/>
      <c r="U83" s="2" t="s">
        <v>612</v>
      </c>
    </row>
    <row r="84" spans="18:21" x14ac:dyDescent="0.25">
      <c r="R84" s="94" t="s">
        <v>155</v>
      </c>
      <c r="S84" s="12" t="s">
        <v>156</v>
      </c>
      <c r="T84" s="2"/>
      <c r="U84" s="2">
        <v>625</v>
      </c>
    </row>
    <row r="85" spans="18:21" x14ac:dyDescent="0.25">
      <c r="R85" s="95"/>
      <c r="S85" s="13"/>
      <c r="T85" s="2"/>
      <c r="U85" s="2" t="s">
        <v>613</v>
      </c>
    </row>
    <row r="86" spans="18:21" x14ac:dyDescent="0.25">
      <c r="R86" s="94" t="s">
        <v>157</v>
      </c>
      <c r="S86" s="12" t="s">
        <v>158</v>
      </c>
      <c r="T86" s="2"/>
      <c r="U86" s="2">
        <v>625</v>
      </c>
    </row>
    <row r="87" spans="18:21" x14ac:dyDescent="0.25">
      <c r="R87" s="95"/>
      <c r="S87" s="13"/>
      <c r="T87" s="2"/>
      <c r="U87" s="2" t="s">
        <v>159</v>
      </c>
    </row>
    <row r="88" spans="18:21" x14ac:dyDescent="0.25">
      <c r="R88" s="94" t="s">
        <v>208</v>
      </c>
      <c r="S88" s="12" t="s">
        <v>209</v>
      </c>
      <c r="T88" s="2"/>
      <c r="U88" s="2">
        <v>625</v>
      </c>
    </row>
    <row r="89" spans="18:21" x14ac:dyDescent="0.25">
      <c r="R89" s="95"/>
      <c r="S89" s="13"/>
      <c r="T89" s="2"/>
      <c r="U89" s="2" t="s">
        <v>211</v>
      </c>
    </row>
    <row r="90" spans="18:21" x14ac:dyDescent="0.25">
      <c r="R90" s="94" t="s">
        <v>245</v>
      </c>
      <c r="S90" s="12" t="s">
        <v>246</v>
      </c>
      <c r="T90" s="2"/>
      <c r="U90" s="2">
        <v>625</v>
      </c>
    </row>
    <row r="91" spans="18:21" x14ac:dyDescent="0.25">
      <c r="R91" s="95"/>
      <c r="S91" s="13"/>
      <c r="T91" s="2"/>
      <c r="U91" s="2" t="s">
        <v>247</v>
      </c>
    </row>
    <row r="92" spans="18:21" x14ac:dyDescent="0.25">
      <c r="R92" s="94" t="s">
        <v>98</v>
      </c>
      <c r="S92" s="12" t="s">
        <v>638</v>
      </c>
      <c r="T92" s="2"/>
      <c r="U92" s="2">
        <v>625</v>
      </c>
    </row>
    <row r="93" spans="18:21" x14ac:dyDescent="0.25">
      <c r="R93" s="95"/>
      <c r="S93" s="13"/>
      <c r="T93" s="2"/>
      <c r="U93" s="2" t="s">
        <v>639</v>
      </c>
    </row>
    <row r="94" spans="18:21" x14ac:dyDescent="0.25">
      <c r="R94" s="94" t="s">
        <v>640</v>
      </c>
      <c r="S94" s="12" t="s">
        <v>641</v>
      </c>
      <c r="T94" s="2"/>
      <c r="U94" s="2">
        <v>625</v>
      </c>
    </row>
    <row r="95" spans="18:21" x14ac:dyDescent="0.25">
      <c r="R95" s="95"/>
      <c r="S95" s="13"/>
      <c r="T95" s="2"/>
      <c r="U95" s="2" t="s">
        <v>642</v>
      </c>
    </row>
    <row r="96" spans="18:21" x14ac:dyDescent="0.25">
      <c r="R96" s="94" t="s">
        <v>649</v>
      </c>
      <c r="S96" s="12" t="s">
        <v>651</v>
      </c>
      <c r="T96" s="2"/>
      <c r="U96" s="2">
        <v>625</v>
      </c>
    </row>
    <row r="97" spans="18:21" x14ac:dyDescent="0.25">
      <c r="R97" s="95"/>
      <c r="S97" s="13"/>
      <c r="T97" s="2"/>
      <c r="U97" s="2" t="s">
        <v>650</v>
      </c>
    </row>
    <row r="98" spans="18:21" x14ac:dyDescent="0.25">
      <c r="R98" s="94" t="s">
        <v>715</v>
      </c>
      <c r="S98" s="12" t="s">
        <v>988</v>
      </c>
      <c r="T98" s="2"/>
      <c r="U98" s="2">
        <v>625</v>
      </c>
    </row>
    <row r="99" spans="18:21" x14ac:dyDescent="0.25">
      <c r="R99" s="95"/>
      <c r="S99" s="13"/>
      <c r="T99" s="2"/>
      <c r="U99" s="2" t="s">
        <v>716</v>
      </c>
    </row>
    <row r="100" spans="18:21" x14ac:dyDescent="0.25">
      <c r="R100" s="94" t="s">
        <v>872</v>
      </c>
      <c r="S100" s="57" t="s">
        <v>873</v>
      </c>
      <c r="T100" s="32"/>
      <c r="U100" s="2">
        <v>625</v>
      </c>
    </row>
    <row r="101" spans="18:21" x14ac:dyDescent="0.25">
      <c r="R101" s="95"/>
      <c r="S101" s="58"/>
      <c r="T101" s="32"/>
      <c r="U101" s="32" t="s">
        <v>874</v>
      </c>
    </row>
    <row r="102" spans="18:21" x14ac:dyDescent="0.25">
      <c r="R102" s="94" t="s">
        <v>875</v>
      </c>
      <c r="S102" s="12" t="s">
        <v>882</v>
      </c>
      <c r="T102" s="2"/>
      <c r="U102" s="2">
        <v>625</v>
      </c>
    </row>
    <row r="103" spans="18:21" x14ac:dyDescent="0.25">
      <c r="R103" s="95"/>
      <c r="S103" s="13"/>
      <c r="T103" s="2"/>
      <c r="U103" s="2" t="s">
        <v>876</v>
      </c>
    </row>
    <row r="104" spans="18:21" x14ac:dyDescent="0.25">
      <c r="R104" s="94" t="s">
        <v>877</v>
      </c>
      <c r="S104" s="12" t="s">
        <v>883</v>
      </c>
      <c r="T104" s="2"/>
      <c r="U104" s="2">
        <v>625</v>
      </c>
    </row>
    <row r="105" spans="18:21" x14ac:dyDescent="0.25">
      <c r="R105" s="95"/>
      <c r="S105" s="13"/>
      <c r="T105" s="2"/>
      <c r="U105" s="2" t="s">
        <v>878</v>
      </c>
    </row>
    <row r="106" spans="18:21" x14ac:dyDescent="0.25">
      <c r="R106" s="94" t="s">
        <v>879</v>
      </c>
      <c r="S106" s="12" t="s">
        <v>881</v>
      </c>
      <c r="T106" s="2"/>
      <c r="U106" s="2">
        <v>625</v>
      </c>
    </row>
    <row r="107" spans="18:21" x14ac:dyDescent="0.25">
      <c r="R107" s="95"/>
      <c r="S107" s="13"/>
      <c r="T107" s="2"/>
      <c r="U107" s="2" t="s">
        <v>880</v>
      </c>
    </row>
    <row r="108" spans="18:21" x14ac:dyDescent="0.25">
      <c r="R108" s="362" t="s">
        <v>569</v>
      </c>
      <c r="S108" s="363"/>
      <c r="T108" s="363"/>
      <c r="U108" s="362">
        <v>8125</v>
      </c>
    </row>
    <row r="109" spans="18:21" x14ac:dyDescent="0.25">
      <c r="R109" s="351"/>
      <c r="S109" s="364"/>
      <c r="T109" s="364"/>
      <c r="U109" s="351"/>
    </row>
  </sheetData>
  <mergeCells count="378">
    <mergeCell ref="X6:X7"/>
    <mergeCell ref="W30:W31"/>
    <mergeCell ref="W32:W33"/>
    <mergeCell ref="W34:W35"/>
    <mergeCell ref="W40:W41"/>
    <mergeCell ref="W44:W45"/>
    <mergeCell ref="R48:R49"/>
    <mergeCell ref="U48:U49"/>
    <mergeCell ref="V48:V49"/>
    <mergeCell ref="W48:W49"/>
    <mergeCell ref="R18:R19"/>
    <mergeCell ref="U18:U19"/>
    <mergeCell ref="V18:V19"/>
    <mergeCell ref="W18:W19"/>
    <mergeCell ref="R20:R21"/>
    <mergeCell ref="U20:U21"/>
    <mergeCell ref="J42:J43"/>
    <mergeCell ref="R108:R109"/>
    <mergeCell ref="S108:S109"/>
    <mergeCell ref="T108:T109"/>
    <mergeCell ref="U108:U109"/>
    <mergeCell ref="W66:W67"/>
    <mergeCell ref="W62:W63"/>
    <mergeCell ref="W64:W65"/>
    <mergeCell ref="W68:W69"/>
    <mergeCell ref="W70:W71"/>
    <mergeCell ref="R72:R73"/>
    <mergeCell ref="S72:S73"/>
    <mergeCell ref="T72:T73"/>
    <mergeCell ref="U72:U73"/>
    <mergeCell ref="R62:R63"/>
    <mergeCell ref="S62:S63"/>
    <mergeCell ref="T62:T63"/>
    <mergeCell ref="U62:U63"/>
    <mergeCell ref="R60:R61"/>
    <mergeCell ref="U60:U61"/>
    <mergeCell ref="V60:V61"/>
    <mergeCell ref="V62:V63"/>
    <mergeCell ref="W56:W57"/>
    <mergeCell ref="R50:R51"/>
    <mergeCell ref="U42:U43"/>
    <mergeCell ref="V42:V43"/>
    <mergeCell ref="U44:U45"/>
    <mergeCell ref="V44:V45"/>
    <mergeCell ref="R46:R47"/>
    <mergeCell ref="U46:U47"/>
    <mergeCell ref="V46:V47"/>
    <mergeCell ref="O56:O57"/>
    <mergeCell ref="P56:P57"/>
    <mergeCell ref="U50:U51"/>
    <mergeCell ref="V50:V51"/>
    <mergeCell ref="W36:W37"/>
    <mergeCell ref="R14:R15"/>
    <mergeCell ref="U14:U15"/>
    <mergeCell ref="V14:V15"/>
    <mergeCell ref="W14:W15"/>
    <mergeCell ref="R16:R17"/>
    <mergeCell ref="U16:U17"/>
    <mergeCell ref="V16:V17"/>
    <mergeCell ref="W16:W17"/>
    <mergeCell ref="W28:W29"/>
    <mergeCell ref="J46:J47"/>
    <mergeCell ref="M46:M47"/>
    <mergeCell ref="N46:N47"/>
    <mergeCell ref="O46:O47"/>
    <mergeCell ref="J50:J51"/>
    <mergeCell ref="M50:M51"/>
    <mergeCell ref="N50:N51"/>
    <mergeCell ref="W38:W39"/>
    <mergeCell ref="J44:J45"/>
    <mergeCell ref="M44:M45"/>
    <mergeCell ref="N44:N45"/>
    <mergeCell ref="O44:O45"/>
    <mergeCell ref="P44:P45"/>
    <mergeCell ref="P46:P47"/>
    <mergeCell ref="J38:J39"/>
    <mergeCell ref="M38:M39"/>
    <mergeCell ref="N38:N39"/>
    <mergeCell ref="O38:O39"/>
    <mergeCell ref="P38:P39"/>
    <mergeCell ref="M48:M49"/>
    <mergeCell ref="N48:N49"/>
    <mergeCell ref="N42:N43"/>
    <mergeCell ref="O42:O43"/>
    <mergeCell ref="P42:P43"/>
    <mergeCell ref="J58:J59"/>
    <mergeCell ref="M58:M59"/>
    <mergeCell ref="N58:N59"/>
    <mergeCell ref="O58:O59"/>
    <mergeCell ref="P60:P61"/>
    <mergeCell ref="O52:O53"/>
    <mergeCell ref="P52:P53"/>
    <mergeCell ref="P54:P55"/>
    <mergeCell ref="O48:O49"/>
    <mergeCell ref="P48:P49"/>
    <mergeCell ref="O50:O51"/>
    <mergeCell ref="P50:P51"/>
    <mergeCell ref="J48:J49"/>
    <mergeCell ref="J52:J53"/>
    <mergeCell ref="M52:M53"/>
    <mergeCell ref="N52:N53"/>
    <mergeCell ref="J54:J55"/>
    <mergeCell ref="M54:M55"/>
    <mergeCell ref="N54:N55"/>
    <mergeCell ref="O54:O55"/>
    <mergeCell ref="J56:J57"/>
    <mergeCell ref="M56:M57"/>
    <mergeCell ref="N56:N57"/>
    <mergeCell ref="X12:X13"/>
    <mergeCell ref="R22:R23"/>
    <mergeCell ref="R24:R25"/>
    <mergeCell ref="R26:R27"/>
    <mergeCell ref="U22:U23"/>
    <mergeCell ref="U24:U25"/>
    <mergeCell ref="U26:U27"/>
    <mergeCell ref="V22:V23"/>
    <mergeCell ref="V24:V25"/>
    <mergeCell ref="V26:V27"/>
    <mergeCell ref="W22:W23"/>
    <mergeCell ref="W24:W25"/>
    <mergeCell ref="W26:W27"/>
    <mergeCell ref="R12:R13"/>
    <mergeCell ref="U12:U13"/>
    <mergeCell ref="V12:V13"/>
    <mergeCell ref="W12:W13"/>
    <mergeCell ref="V20:V21"/>
    <mergeCell ref="W20:W21"/>
    <mergeCell ref="J40:J41"/>
    <mergeCell ref="M40:M41"/>
    <mergeCell ref="J24:J25"/>
    <mergeCell ref="M24:M25"/>
    <mergeCell ref="N24:N25"/>
    <mergeCell ref="O24:O25"/>
    <mergeCell ref="P24:P25"/>
    <mergeCell ref="J28:J29"/>
    <mergeCell ref="M28:M29"/>
    <mergeCell ref="N28:N29"/>
    <mergeCell ref="O28:O29"/>
    <mergeCell ref="P28:P29"/>
    <mergeCell ref="K37:O37"/>
    <mergeCell ref="J30:J31"/>
    <mergeCell ref="M30:M31"/>
    <mergeCell ref="J20:J21"/>
    <mergeCell ref="M20:M21"/>
    <mergeCell ref="N20:N21"/>
    <mergeCell ref="O20:O21"/>
    <mergeCell ref="P20:P21"/>
    <mergeCell ref="J22:J23"/>
    <mergeCell ref="M22:M23"/>
    <mergeCell ref="N22:N23"/>
    <mergeCell ref="O22:O23"/>
    <mergeCell ref="P22:P23"/>
    <mergeCell ref="J16:J17"/>
    <mergeCell ref="M16:M17"/>
    <mergeCell ref="N16:N17"/>
    <mergeCell ref="O16:O17"/>
    <mergeCell ref="P16:P17"/>
    <mergeCell ref="J18:J19"/>
    <mergeCell ref="M18:M19"/>
    <mergeCell ref="N18:N19"/>
    <mergeCell ref="O18:O19"/>
    <mergeCell ref="P18:P19"/>
    <mergeCell ref="J12:J13"/>
    <mergeCell ref="M12:M13"/>
    <mergeCell ref="N12:N13"/>
    <mergeCell ref="O12:O13"/>
    <mergeCell ref="P12:P13"/>
    <mergeCell ref="J14:J15"/>
    <mergeCell ref="M14:M15"/>
    <mergeCell ref="N14:N15"/>
    <mergeCell ref="O14:O15"/>
    <mergeCell ref="P14:P15"/>
    <mergeCell ref="B60:B61"/>
    <mergeCell ref="E60:E61"/>
    <mergeCell ref="C60:C61"/>
    <mergeCell ref="D60:D61"/>
    <mergeCell ref="B58:B59"/>
    <mergeCell ref="E58:E59"/>
    <mergeCell ref="F58:F59"/>
    <mergeCell ref="G60:G61"/>
    <mergeCell ref="H58:H59"/>
    <mergeCell ref="B56:B57"/>
    <mergeCell ref="E56:E57"/>
    <mergeCell ref="F56:F57"/>
    <mergeCell ref="G56:G57"/>
    <mergeCell ref="H56:H57"/>
    <mergeCell ref="B54:B55"/>
    <mergeCell ref="E54:E55"/>
    <mergeCell ref="F54:F55"/>
    <mergeCell ref="G54:G55"/>
    <mergeCell ref="H54:H55"/>
    <mergeCell ref="B52:B53"/>
    <mergeCell ref="E52:E53"/>
    <mergeCell ref="F52:F53"/>
    <mergeCell ref="G52:G53"/>
    <mergeCell ref="H52:H53"/>
    <mergeCell ref="B50:B51"/>
    <mergeCell ref="E50:E51"/>
    <mergeCell ref="F50:F51"/>
    <mergeCell ref="G50:G51"/>
    <mergeCell ref="H50:H51"/>
    <mergeCell ref="B48:B49"/>
    <mergeCell ref="E48:E49"/>
    <mergeCell ref="F48:F49"/>
    <mergeCell ref="G48:G49"/>
    <mergeCell ref="H48:H49"/>
    <mergeCell ref="B46:B47"/>
    <mergeCell ref="E46:E47"/>
    <mergeCell ref="F46:F47"/>
    <mergeCell ref="G46:G47"/>
    <mergeCell ref="H46:H47"/>
    <mergeCell ref="B44:B45"/>
    <mergeCell ref="E44:E45"/>
    <mergeCell ref="F44:F45"/>
    <mergeCell ref="G44:G45"/>
    <mergeCell ref="H44:H45"/>
    <mergeCell ref="B42:B43"/>
    <mergeCell ref="E42:E43"/>
    <mergeCell ref="F42:F43"/>
    <mergeCell ref="G42:G43"/>
    <mergeCell ref="H42:H43"/>
    <mergeCell ref="B40:B41"/>
    <mergeCell ref="E40:E41"/>
    <mergeCell ref="F40:F41"/>
    <mergeCell ref="G40:G41"/>
    <mergeCell ref="H40:H41"/>
    <mergeCell ref="H32:H33"/>
    <mergeCell ref="B34:B35"/>
    <mergeCell ref="E34:E35"/>
    <mergeCell ref="F34:F35"/>
    <mergeCell ref="G34:G35"/>
    <mergeCell ref="H34:H35"/>
    <mergeCell ref="B32:B33"/>
    <mergeCell ref="E32:E33"/>
    <mergeCell ref="F32:F33"/>
    <mergeCell ref="G32:G33"/>
    <mergeCell ref="B36:B37"/>
    <mergeCell ref="E36:E37"/>
    <mergeCell ref="F36:F37"/>
    <mergeCell ref="G36:G37"/>
    <mergeCell ref="B38:B39"/>
    <mergeCell ref="E38:E39"/>
    <mergeCell ref="F38:F39"/>
    <mergeCell ref="H36:H37"/>
    <mergeCell ref="G38:G39"/>
    <mergeCell ref="H28:H29"/>
    <mergeCell ref="B30:B31"/>
    <mergeCell ref="E30:E31"/>
    <mergeCell ref="F30:F31"/>
    <mergeCell ref="G30:G31"/>
    <mergeCell ref="H30:H31"/>
    <mergeCell ref="B28:B29"/>
    <mergeCell ref="E28:E29"/>
    <mergeCell ref="F28:F29"/>
    <mergeCell ref="G28:G29"/>
    <mergeCell ref="H38:H39"/>
    <mergeCell ref="B20:B21"/>
    <mergeCell ref="B22:B23"/>
    <mergeCell ref="B24:B25"/>
    <mergeCell ref="B12:B13"/>
    <mergeCell ref="B14:B15"/>
    <mergeCell ref="B16:B17"/>
    <mergeCell ref="B18:B19"/>
    <mergeCell ref="H6:H7"/>
    <mergeCell ref="H12:H13"/>
    <mergeCell ref="H14:H15"/>
    <mergeCell ref="F20:F21"/>
    <mergeCell ref="G20:G21"/>
    <mergeCell ref="F12:F13"/>
    <mergeCell ref="G12:G13"/>
    <mergeCell ref="F14:F15"/>
    <mergeCell ref="G14:G15"/>
    <mergeCell ref="E20:E21"/>
    <mergeCell ref="E22:E23"/>
    <mergeCell ref="E12:E13"/>
    <mergeCell ref="E14:E15"/>
    <mergeCell ref="H20:H21"/>
    <mergeCell ref="H22:H23"/>
    <mergeCell ref="F22:F23"/>
    <mergeCell ref="B3:G4"/>
    <mergeCell ref="B6:B7"/>
    <mergeCell ref="E6:E7"/>
    <mergeCell ref="F6:F7"/>
    <mergeCell ref="G6:G7"/>
    <mergeCell ref="E8:E9"/>
    <mergeCell ref="F8:F9"/>
    <mergeCell ref="G8:G9"/>
    <mergeCell ref="H8:H9"/>
    <mergeCell ref="E24:E25"/>
    <mergeCell ref="F24:F25"/>
    <mergeCell ref="G24:G25"/>
    <mergeCell ref="H24:H25"/>
    <mergeCell ref="G22:G23"/>
    <mergeCell ref="F16:F17"/>
    <mergeCell ref="G16:G17"/>
    <mergeCell ref="H16:H17"/>
    <mergeCell ref="E18:E19"/>
    <mergeCell ref="F18:F19"/>
    <mergeCell ref="G18:G19"/>
    <mergeCell ref="H18:H19"/>
    <mergeCell ref="E16:E17"/>
    <mergeCell ref="U10:U11"/>
    <mergeCell ref="V10:V11"/>
    <mergeCell ref="W10:W11"/>
    <mergeCell ref="R6:R7"/>
    <mergeCell ref="U6:U7"/>
    <mergeCell ref="V6:V7"/>
    <mergeCell ref="W6:W7"/>
    <mergeCell ref="W8:W9"/>
    <mergeCell ref="B10:B11"/>
    <mergeCell ref="E10:E11"/>
    <mergeCell ref="F10:F11"/>
    <mergeCell ref="G10:G11"/>
    <mergeCell ref="H10:H11"/>
    <mergeCell ref="B8:B9"/>
    <mergeCell ref="N10:N11"/>
    <mergeCell ref="O10:O11"/>
    <mergeCell ref="P10:P11"/>
    <mergeCell ref="J10:J11"/>
    <mergeCell ref="M10:M11"/>
    <mergeCell ref="V36:V37"/>
    <mergeCell ref="V28:V29"/>
    <mergeCell ref="V30:V31"/>
    <mergeCell ref="V32:V33"/>
    <mergeCell ref="V34:V35"/>
    <mergeCell ref="R40:R41"/>
    <mergeCell ref="U40:U41"/>
    <mergeCell ref="V40:V41"/>
    <mergeCell ref="J3:O4"/>
    <mergeCell ref="J6:J7"/>
    <mergeCell ref="M6:M7"/>
    <mergeCell ref="N6:N7"/>
    <mergeCell ref="O6:O7"/>
    <mergeCell ref="P6:P7"/>
    <mergeCell ref="J8:J9"/>
    <mergeCell ref="M8:M9"/>
    <mergeCell ref="N8:N9"/>
    <mergeCell ref="O8:O9"/>
    <mergeCell ref="P8:P9"/>
    <mergeCell ref="R3:W4"/>
    <mergeCell ref="R8:R9"/>
    <mergeCell ref="U8:U9"/>
    <mergeCell ref="V8:V9"/>
    <mergeCell ref="R10:R11"/>
    <mergeCell ref="R34:R35"/>
    <mergeCell ref="R28:R29"/>
    <mergeCell ref="R30:R31"/>
    <mergeCell ref="R32:R33"/>
    <mergeCell ref="U36:U37"/>
    <mergeCell ref="U28:U29"/>
    <mergeCell ref="U30:U31"/>
    <mergeCell ref="U32:U33"/>
    <mergeCell ref="U34:U35"/>
    <mergeCell ref="R36:R37"/>
    <mergeCell ref="W60:W61"/>
    <mergeCell ref="W58:W59"/>
    <mergeCell ref="R38:R39"/>
    <mergeCell ref="U38:U39"/>
    <mergeCell ref="V38:V39"/>
    <mergeCell ref="V54:V55"/>
    <mergeCell ref="W54:W55"/>
    <mergeCell ref="R56:R57"/>
    <mergeCell ref="U56:U57"/>
    <mergeCell ref="V56:V57"/>
    <mergeCell ref="R58:R59"/>
    <mergeCell ref="U58:U59"/>
    <mergeCell ref="V58:V59"/>
    <mergeCell ref="W50:W51"/>
    <mergeCell ref="W52:W53"/>
    <mergeCell ref="W42:W43"/>
    <mergeCell ref="W46:W47"/>
    <mergeCell ref="R52:R53"/>
    <mergeCell ref="U52:U53"/>
    <mergeCell ref="V52:V53"/>
    <mergeCell ref="R54:R55"/>
    <mergeCell ref="U54:U55"/>
    <mergeCell ref="R42:R43"/>
    <mergeCell ref="R44:R45"/>
  </mergeCells>
  <phoneticPr fontId="6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AC4CC-80DA-448A-BAF0-2EB34E4F9F54}">
  <dimension ref="K3:U104"/>
  <sheetViews>
    <sheetView rightToLeft="1" topLeftCell="C1" workbookViewId="0">
      <selection activeCell="M73" sqref="M73"/>
    </sheetView>
  </sheetViews>
  <sheetFormatPr defaultColWidth="11.42578125" defaultRowHeight="15" x14ac:dyDescent="0.25"/>
  <cols>
    <col min="10" max="10" width="1" customWidth="1"/>
    <col min="11" max="11" width="10.7109375" hidden="1" customWidth="1"/>
    <col min="12" max="12" width="11.42578125" hidden="1" customWidth="1"/>
    <col min="13" max="13" width="47.85546875" customWidth="1"/>
    <col min="14" max="14" width="27.42578125" bestFit="1" customWidth="1"/>
    <col min="15" max="15" width="20" customWidth="1"/>
    <col min="16" max="16" width="21.42578125" customWidth="1"/>
    <col min="17" max="17" width="19.5703125" customWidth="1"/>
    <col min="18" max="18" width="16.5703125" customWidth="1"/>
    <col min="19" max="19" width="21.5703125" customWidth="1"/>
  </cols>
  <sheetData>
    <row r="3" spans="14:21" ht="15.75" thickBot="1" x14ac:dyDescent="0.3"/>
    <row r="4" spans="14:21" ht="21.75" x14ac:dyDescent="0.25">
      <c r="N4" s="98" t="s">
        <v>1304</v>
      </c>
      <c r="O4" s="100"/>
      <c r="P4" s="100"/>
      <c r="Q4" s="101"/>
      <c r="R4" s="101"/>
      <c r="S4" s="102"/>
      <c r="T4" s="107"/>
      <c r="U4" s="107"/>
    </row>
    <row r="5" spans="14:21" ht="23.25" thickBot="1" x14ac:dyDescent="0.3">
      <c r="N5" s="99" t="s">
        <v>1305</v>
      </c>
      <c r="O5" s="103"/>
      <c r="P5" s="104"/>
      <c r="Q5" s="105"/>
      <c r="R5" s="105"/>
      <c r="S5" s="106"/>
      <c r="T5" s="108"/>
      <c r="U5" s="107"/>
    </row>
    <row r="6" spans="14:21" ht="19.5" thickBot="1" x14ac:dyDescent="0.3">
      <c r="N6" s="109" t="s">
        <v>215</v>
      </c>
      <c r="O6" s="110" t="s">
        <v>2</v>
      </c>
      <c r="P6" s="111" t="s">
        <v>357</v>
      </c>
      <c r="Q6" s="112" t="s">
        <v>358</v>
      </c>
      <c r="R6" s="109" t="s">
        <v>359</v>
      </c>
      <c r="S6" s="113" t="s">
        <v>360</v>
      </c>
      <c r="T6" s="114"/>
      <c r="U6" s="107"/>
    </row>
    <row r="7" spans="14:21" ht="15.75" thickBot="1" x14ac:dyDescent="0.3">
      <c r="N7" s="409" t="s">
        <v>758</v>
      </c>
      <c r="O7" s="115">
        <v>250</v>
      </c>
      <c r="P7" s="115">
        <v>1500</v>
      </c>
      <c r="Q7" s="411" t="s">
        <v>361</v>
      </c>
      <c r="R7" s="418" t="s">
        <v>672</v>
      </c>
      <c r="S7" s="419" t="s">
        <v>667</v>
      </c>
      <c r="T7" s="114"/>
      <c r="U7" s="107"/>
    </row>
    <row r="8" spans="14:21" ht="15.75" thickBot="1" x14ac:dyDescent="0.3">
      <c r="N8" s="413"/>
      <c r="O8" s="117" t="s">
        <v>759</v>
      </c>
      <c r="P8" s="117" t="s">
        <v>757</v>
      </c>
      <c r="Q8" s="412"/>
      <c r="R8" s="393"/>
      <c r="S8" s="407"/>
      <c r="T8" s="114"/>
      <c r="U8" s="107"/>
    </row>
    <row r="9" spans="14:21" ht="15.75" thickBot="1" x14ac:dyDescent="0.3">
      <c r="N9" s="414" t="s">
        <v>816</v>
      </c>
      <c r="O9" s="117">
        <v>250</v>
      </c>
      <c r="P9" s="117">
        <v>2000</v>
      </c>
      <c r="Q9" s="411" t="s">
        <v>818</v>
      </c>
      <c r="R9" s="383" t="s">
        <v>819</v>
      </c>
      <c r="S9" s="420"/>
      <c r="T9" s="114"/>
      <c r="U9" s="107"/>
    </row>
    <row r="10" spans="14:21" ht="15.75" thickBot="1" x14ac:dyDescent="0.3">
      <c r="N10" s="410"/>
      <c r="O10" s="117" t="s">
        <v>817</v>
      </c>
      <c r="P10" s="117" t="s">
        <v>817</v>
      </c>
      <c r="Q10" s="412"/>
      <c r="R10" s="393"/>
      <c r="S10" s="421"/>
      <c r="T10" s="114"/>
      <c r="U10" s="107"/>
    </row>
    <row r="11" spans="14:21" ht="15.75" thickBot="1" x14ac:dyDescent="0.3">
      <c r="N11" s="409" t="s">
        <v>284</v>
      </c>
      <c r="O11" s="117">
        <v>500</v>
      </c>
      <c r="P11" s="117">
        <v>4000</v>
      </c>
      <c r="Q11" s="411" t="s">
        <v>862</v>
      </c>
      <c r="R11" s="383" t="s">
        <v>858</v>
      </c>
      <c r="S11" s="416" t="s">
        <v>859</v>
      </c>
      <c r="T11" s="114"/>
      <c r="U11" s="107"/>
    </row>
    <row r="12" spans="14:21" ht="15.75" thickBot="1" x14ac:dyDescent="0.3">
      <c r="N12" s="410"/>
      <c r="O12" s="117" t="s">
        <v>857</v>
      </c>
      <c r="P12" s="117" t="s">
        <v>857</v>
      </c>
      <c r="Q12" s="412"/>
      <c r="R12" s="393"/>
      <c r="S12" s="417"/>
      <c r="T12" s="114"/>
      <c r="U12" s="107"/>
    </row>
    <row r="13" spans="14:21" ht="15.75" thickBot="1" x14ac:dyDescent="0.3">
      <c r="N13" s="409" t="s">
        <v>854</v>
      </c>
      <c r="O13" s="118">
        <v>250</v>
      </c>
      <c r="P13" s="117">
        <v>1500</v>
      </c>
      <c r="Q13" s="394" t="s">
        <v>861</v>
      </c>
      <c r="R13" s="383" t="s">
        <v>767</v>
      </c>
      <c r="S13" s="406"/>
      <c r="T13" s="114"/>
      <c r="U13" s="107"/>
    </row>
    <row r="14" spans="14:21" ht="15.75" thickBot="1" x14ac:dyDescent="0.3">
      <c r="N14" s="410"/>
      <c r="O14" s="118" t="s">
        <v>860</v>
      </c>
      <c r="P14" s="118" t="s">
        <v>860</v>
      </c>
      <c r="Q14" s="395"/>
      <c r="R14" s="393"/>
      <c r="S14" s="407"/>
      <c r="T14" s="114"/>
      <c r="U14" s="107"/>
    </row>
    <row r="15" spans="14:21" ht="15.75" thickBot="1" x14ac:dyDescent="0.3">
      <c r="N15" s="409" t="s">
        <v>907</v>
      </c>
      <c r="O15" s="118">
        <v>250</v>
      </c>
      <c r="P15" s="118"/>
      <c r="Q15" s="394" t="s">
        <v>862</v>
      </c>
      <c r="R15" s="383" t="s">
        <v>672</v>
      </c>
      <c r="S15" s="406" t="s">
        <v>909</v>
      </c>
      <c r="T15" s="114"/>
      <c r="U15" s="107"/>
    </row>
    <row r="16" spans="14:21" ht="15.75" thickBot="1" x14ac:dyDescent="0.3">
      <c r="N16" s="410"/>
      <c r="O16" s="118" t="s">
        <v>908</v>
      </c>
      <c r="P16" s="118"/>
      <c r="Q16" s="395"/>
      <c r="R16" s="393"/>
      <c r="S16" s="407"/>
      <c r="T16" s="114"/>
      <c r="U16" s="107"/>
    </row>
    <row r="17" spans="14:21" ht="15.75" thickBot="1" x14ac:dyDescent="0.3">
      <c r="N17" s="409" t="s">
        <v>911</v>
      </c>
      <c r="O17" s="118">
        <v>250</v>
      </c>
      <c r="P17" s="117">
        <v>2000</v>
      </c>
      <c r="Q17" s="394" t="s">
        <v>862</v>
      </c>
      <c r="R17" s="383" t="s">
        <v>913</v>
      </c>
      <c r="S17" s="406" t="s">
        <v>914</v>
      </c>
      <c r="T17" s="114"/>
      <c r="U17" s="107"/>
    </row>
    <row r="18" spans="14:21" ht="15.75" thickBot="1" x14ac:dyDescent="0.3">
      <c r="N18" s="410"/>
      <c r="O18" s="118" t="s">
        <v>912</v>
      </c>
      <c r="P18" s="118" t="s">
        <v>912</v>
      </c>
      <c r="Q18" s="395"/>
      <c r="R18" s="393"/>
      <c r="S18" s="407"/>
      <c r="T18" s="114"/>
      <c r="U18" s="107"/>
    </row>
    <row r="19" spans="14:21" ht="15.75" thickBot="1" x14ac:dyDescent="0.3">
      <c r="N19" s="409" t="s">
        <v>915</v>
      </c>
      <c r="O19" s="118"/>
      <c r="P19" s="118">
        <v>2000</v>
      </c>
      <c r="Q19" s="404" t="s">
        <v>862</v>
      </c>
      <c r="R19" s="383" t="s">
        <v>913</v>
      </c>
      <c r="S19" s="406"/>
      <c r="T19" s="114"/>
      <c r="U19" s="107"/>
    </row>
    <row r="20" spans="14:21" ht="15.75" thickBot="1" x14ac:dyDescent="0.3">
      <c r="N20" s="413"/>
      <c r="O20" s="118"/>
      <c r="P20" s="118" t="s">
        <v>916</v>
      </c>
      <c r="Q20" s="405"/>
      <c r="R20" s="393"/>
      <c r="S20" s="407"/>
      <c r="T20" s="114"/>
      <c r="U20" s="107"/>
    </row>
    <row r="21" spans="14:21" ht="15.75" thickBot="1" x14ac:dyDescent="0.3">
      <c r="N21" s="414" t="s">
        <v>928</v>
      </c>
      <c r="O21" s="117">
        <v>250</v>
      </c>
      <c r="P21" s="117">
        <v>2500</v>
      </c>
      <c r="Q21" s="415" t="s">
        <v>930</v>
      </c>
      <c r="R21" s="383" t="s">
        <v>931</v>
      </c>
      <c r="S21" s="406" t="s">
        <v>932</v>
      </c>
      <c r="T21" s="114"/>
      <c r="U21" s="107"/>
    </row>
    <row r="22" spans="14:21" ht="15.75" thickBot="1" x14ac:dyDescent="0.3">
      <c r="N22" s="410"/>
      <c r="O22" s="117" t="s">
        <v>929</v>
      </c>
      <c r="P22" s="117" t="s">
        <v>929</v>
      </c>
      <c r="Q22" s="412"/>
      <c r="R22" s="393"/>
      <c r="S22" s="407"/>
      <c r="T22" s="114"/>
      <c r="U22" s="107"/>
    </row>
    <row r="23" spans="14:21" ht="15.75" thickBot="1" x14ac:dyDescent="0.3">
      <c r="N23" s="409" t="s">
        <v>1291</v>
      </c>
      <c r="O23" s="117">
        <v>250</v>
      </c>
      <c r="P23" s="117">
        <v>3000</v>
      </c>
      <c r="Q23" s="411" t="s">
        <v>362</v>
      </c>
      <c r="R23" s="383" t="s">
        <v>942</v>
      </c>
      <c r="S23" s="406" t="s">
        <v>943</v>
      </c>
      <c r="T23" s="114"/>
      <c r="U23" s="107"/>
    </row>
    <row r="24" spans="14:21" ht="15.75" thickBot="1" x14ac:dyDescent="0.3">
      <c r="N24" s="410"/>
      <c r="O24" s="117" t="s">
        <v>941</v>
      </c>
      <c r="P24" s="117" t="s">
        <v>941</v>
      </c>
      <c r="Q24" s="412"/>
      <c r="R24" s="393"/>
      <c r="S24" s="407"/>
      <c r="T24" s="114"/>
      <c r="U24" s="107"/>
    </row>
    <row r="25" spans="14:21" ht="15.75" thickBot="1" x14ac:dyDescent="0.3">
      <c r="N25" s="409" t="s">
        <v>944</v>
      </c>
      <c r="O25" s="117"/>
      <c r="P25" s="117">
        <v>3000</v>
      </c>
      <c r="Q25" s="411" t="s">
        <v>902</v>
      </c>
      <c r="R25" s="383" t="s">
        <v>1292</v>
      </c>
      <c r="S25" s="406" t="s">
        <v>946</v>
      </c>
      <c r="T25" s="114"/>
      <c r="U25" s="107"/>
    </row>
    <row r="26" spans="14:21" ht="15.75" thickBot="1" x14ac:dyDescent="0.3">
      <c r="N26" s="410"/>
      <c r="O26" s="117"/>
      <c r="P26" s="117" t="s">
        <v>945</v>
      </c>
      <c r="Q26" s="412"/>
      <c r="R26" s="393"/>
      <c r="S26" s="407"/>
      <c r="T26" s="114"/>
      <c r="U26" s="107"/>
    </row>
    <row r="27" spans="14:21" ht="15.75" thickBot="1" x14ac:dyDescent="0.3">
      <c r="N27" s="409" t="s">
        <v>956</v>
      </c>
      <c r="O27" s="117">
        <v>250</v>
      </c>
      <c r="P27" s="117">
        <v>2500</v>
      </c>
      <c r="Q27" s="394" t="s">
        <v>959</v>
      </c>
      <c r="R27" s="383" t="s">
        <v>958</v>
      </c>
      <c r="S27" s="406"/>
      <c r="T27" s="114"/>
      <c r="U27" s="107"/>
    </row>
    <row r="28" spans="14:21" ht="15.75" thickBot="1" x14ac:dyDescent="0.3">
      <c r="N28" s="410"/>
      <c r="O28" s="117" t="s">
        <v>957</v>
      </c>
      <c r="P28" s="117" t="s">
        <v>957</v>
      </c>
      <c r="Q28" s="395"/>
      <c r="R28" s="393"/>
      <c r="S28" s="407"/>
      <c r="T28" s="114"/>
      <c r="U28" s="107"/>
    </row>
    <row r="29" spans="14:21" ht="15.75" thickBot="1" x14ac:dyDescent="0.3">
      <c r="N29" s="409" t="s">
        <v>1043</v>
      </c>
      <c r="O29" s="117">
        <v>250</v>
      </c>
      <c r="P29" s="117">
        <v>1500</v>
      </c>
      <c r="Q29" s="394" t="s">
        <v>1045</v>
      </c>
      <c r="R29" s="383" t="s">
        <v>672</v>
      </c>
      <c r="S29" s="406"/>
      <c r="T29" s="114"/>
      <c r="U29" s="107"/>
    </row>
    <row r="30" spans="14:21" ht="16.5" thickBot="1" x14ac:dyDescent="0.3">
      <c r="N30" s="410"/>
      <c r="O30" s="120"/>
      <c r="P30" s="120"/>
      <c r="Q30" s="395"/>
      <c r="R30" s="393"/>
      <c r="S30" s="407"/>
      <c r="T30" s="114"/>
      <c r="U30" s="107"/>
    </row>
    <row r="31" spans="14:21" ht="15.75" thickBot="1" x14ac:dyDescent="0.3">
      <c r="N31" s="409" t="s">
        <v>1046</v>
      </c>
      <c r="O31" s="121">
        <v>250</v>
      </c>
      <c r="P31" s="117">
        <v>1500</v>
      </c>
      <c r="Q31" s="394" t="s">
        <v>1045</v>
      </c>
      <c r="R31" s="383" t="s">
        <v>672</v>
      </c>
      <c r="S31" s="406"/>
      <c r="T31" s="114"/>
      <c r="U31" s="107"/>
    </row>
    <row r="32" spans="14:21" ht="15.75" thickBot="1" x14ac:dyDescent="0.3">
      <c r="N32" s="410"/>
      <c r="O32" s="121" t="s">
        <v>1047</v>
      </c>
      <c r="P32" s="117" t="s">
        <v>1047</v>
      </c>
      <c r="Q32" s="395"/>
      <c r="R32" s="393"/>
      <c r="S32" s="407"/>
      <c r="T32" s="114"/>
      <c r="U32" s="107"/>
    </row>
    <row r="33" spans="14:21" ht="15.75" thickBot="1" x14ac:dyDescent="0.3">
      <c r="N33" s="409" t="s">
        <v>1048</v>
      </c>
      <c r="O33" s="117">
        <v>250</v>
      </c>
      <c r="P33" s="117">
        <v>1500</v>
      </c>
      <c r="Q33" s="394" t="s">
        <v>1045</v>
      </c>
      <c r="R33" s="383" t="s">
        <v>672</v>
      </c>
      <c r="S33" s="406"/>
      <c r="T33" s="114"/>
      <c r="U33" s="107"/>
    </row>
    <row r="34" spans="14:21" ht="15.75" thickBot="1" x14ac:dyDescent="0.3">
      <c r="N34" s="410"/>
      <c r="O34" s="117" t="s">
        <v>1049</v>
      </c>
      <c r="P34" s="117" t="s">
        <v>1049</v>
      </c>
      <c r="Q34" s="395"/>
      <c r="R34" s="393"/>
      <c r="S34" s="407"/>
      <c r="T34" s="114"/>
      <c r="U34" s="107"/>
    </row>
    <row r="35" spans="14:21" ht="15.75" thickBot="1" x14ac:dyDescent="0.3">
      <c r="N35" s="409" t="s">
        <v>1050</v>
      </c>
      <c r="O35" s="117"/>
      <c r="P35" s="117">
        <v>2000</v>
      </c>
      <c r="Q35" s="394" t="s">
        <v>934</v>
      </c>
      <c r="R35" s="383" t="s">
        <v>1051</v>
      </c>
      <c r="S35" s="406"/>
      <c r="T35" s="114"/>
      <c r="U35" s="107"/>
    </row>
    <row r="36" spans="14:21" ht="15.75" thickBot="1" x14ac:dyDescent="0.3">
      <c r="N36" s="410"/>
      <c r="O36" s="117"/>
      <c r="P36" s="117" t="s">
        <v>1049</v>
      </c>
      <c r="Q36" s="395"/>
      <c r="R36" s="393"/>
      <c r="S36" s="407"/>
      <c r="T36" s="114"/>
      <c r="U36" s="107"/>
    </row>
    <row r="37" spans="14:21" ht="15.75" thickBot="1" x14ac:dyDescent="0.3">
      <c r="N37" s="409" t="s">
        <v>969</v>
      </c>
      <c r="O37" s="117">
        <v>250</v>
      </c>
      <c r="P37" s="117">
        <v>2000</v>
      </c>
      <c r="Q37" s="394" t="s">
        <v>388</v>
      </c>
      <c r="R37" s="383" t="s">
        <v>913</v>
      </c>
      <c r="S37" s="406"/>
      <c r="T37" s="114"/>
      <c r="U37" s="107"/>
    </row>
    <row r="38" spans="14:21" ht="15.75" thickBot="1" x14ac:dyDescent="0.3">
      <c r="N38" s="410"/>
      <c r="O38" s="117" t="s">
        <v>1039</v>
      </c>
      <c r="P38" s="117" t="s">
        <v>1039</v>
      </c>
      <c r="Q38" s="395"/>
      <c r="R38" s="393"/>
      <c r="S38" s="407"/>
      <c r="T38" s="114"/>
      <c r="U38" s="107"/>
    </row>
    <row r="39" spans="14:21" ht="15.75" thickBot="1" x14ac:dyDescent="0.3">
      <c r="N39" s="409" t="s">
        <v>1091</v>
      </c>
      <c r="O39" s="117">
        <v>150</v>
      </c>
      <c r="P39" s="117">
        <v>2000</v>
      </c>
      <c r="Q39" s="394" t="s">
        <v>1093</v>
      </c>
      <c r="R39" s="383" t="s">
        <v>1094</v>
      </c>
      <c r="S39" s="406"/>
      <c r="T39" s="114"/>
      <c r="U39" s="107"/>
    </row>
    <row r="40" spans="14:21" ht="16.5" thickBot="1" x14ac:dyDescent="0.3">
      <c r="N40" s="410"/>
      <c r="O40" s="120"/>
      <c r="P40" s="120"/>
      <c r="Q40" s="395"/>
      <c r="R40" s="393"/>
      <c r="S40" s="407"/>
      <c r="T40" s="114"/>
      <c r="U40" s="107"/>
    </row>
    <row r="41" spans="14:21" ht="15.75" thickBot="1" x14ac:dyDescent="0.3">
      <c r="N41" s="402" t="s">
        <v>1293</v>
      </c>
      <c r="O41" s="117">
        <v>250</v>
      </c>
      <c r="P41" s="117">
        <v>1500</v>
      </c>
      <c r="Q41" s="394" t="s">
        <v>1096</v>
      </c>
      <c r="R41" s="383" t="s">
        <v>1097</v>
      </c>
      <c r="S41" s="406"/>
      <c r="T41" s="114"/>
      <c r="U41" s="107"/>
    </row>
    <row r="42" spans="14:21" ht="15.75" thickBot="1" x14ac:dyDescent="0.3">
      <c r="N42" s="403"/>
      <c r="O42" s="117" t="s">
        <v>1095</v>
      </c>
      <c r="P42" s="117" t="s">
        <v>1095</v>
      </c>
      <c r="Q42" s="395"/>
      <c r="R42" s="393"/>
      <c r="S42" s="407"/>
      <c r="T42" s="114"/>
      <c r="U42" s="107"/>
    </row>
    <row r="43" spans="14:21" ht="15.75" thickBot="1" x14ac:dyDescent="0.3">
      <c r="N43" s="402" t="s">
        <v>1098</v>
      </c>
      <c r="O43" s="117">
        <v>250</v>
      </c>
      <c r="P43" s="117"/>
      <c r="Q43" s="404" t="s">
        <v>1100</v>
      </c>
      <c r="R43" s="383" t="s">
        <v>1097</v>
      </c>
      <c r="S43" s="406"/>
      <c r="T43" s="114"/>
      <c r="U43" s="107"/>
    </row>
    <row r="44" spans="14:21" ht="15.75" thickBot="1" x14ac:dyDescent="0.3">
      <c r="N44" s="403"/>
      <c r="O44" s="117" t="s">
        <v>1099</v>
      </c>
      <c r="P44" s="117"/>
      <c r="Q44" s="405"/>
      <c r="R44" s="393"/>
      <c r="S44" s="407"/>
      <c r="T44" s="114"/>
      <c r="U44" s="107"/>
    </row>
    <row r="45" spans="14:21" ht="15.75" thickBot="1" x14ac:dyDescent="0.3">
      <c r="N45" s="402" t="s">
        <v>1101</v>
      </c>
      <c r="O45" s="118">
        <v>500</v>
      </c>
      <c r="P45" s="117">
        <v>1500</v>
      </c>
      <c r="Q45" s="408" t="s">
        <v>1100</v>
      </c>
      <c r="R45" s="383" t="s">
        <v>1097</v>
      </c>
      <c r="S45" s="406"/>
      <c r="T45" s="114"/>
      <c r="U45" s="107"/>
    </row>
    <row r="46" spans="14:21" ht="15.75" thickBot="1" x14ac:dyDescent="0.3">
      <c r="N46" s="399"/>
      <c r="O46" s="118" t="s">
        <v>1102</v>
      </c>
      <c r="P46" s="117" t="s">
        <v>1102</v>
      </c>
      <c r="Q46" s="395"/>
      <c r="R46" s="393"/>
      <c r="S46" s="407"/>
      <c r="T46" s="114"/>
      <c r="U46" s="107"/>
    </row>
    <row r="47" spans="14:21" ht="15.75" thickBot="1" x14ac:dyDescent="0.3">
      <c r="N47" s="398" t="s">
        <v>1103</v>
      </c>
      <c r="O47" s="118">
        <v>250</v>
      </c>
      <c r="P47" s="117">
        <v>1500</v>
      </c>
      <c r="Q47" s="394" t="s">
        <v>1105</v>
      </c>
      <c r="R47" s="383" t="s">
        <v>1097</v>
      </c>
      <c r="S47" s="400"/>
      <c r="T47" s="114"/>
      <c r="U47" s="107"/>
    </row>
    <row r="48" spans="14:21" ht="15.75" thickBot="1" x14ac:dyDescent="0.3">
      <c r="N48" s="399"/>
      <c r="O48" s="118" t="s">
        <v>243</v>
      </c>
      <c r="P48" s="117" t="s">
        <v>1104</v>
      </c>
      <c r="Q48" s="395"/>
      <c r="R48" s="393"/>
      <c r="S48" s="401"/>
      <c r="T48" s="114"/>
      <c r="U48" s="107"/>
    </row>
    <row r="49" spans="14:21" ht="15.75" thickBot="1" x14ac:dyDescent="0.3">
      <c r="N49" s="398" t="s">
        <v>1106</v>
      </c>
      <c r="O49" s="118">
        <v>250</v>
      </c>
      <c r="P49" s="117">
        <v>2000</v>
      </c>
      <c r="Q49" s="394" t="s">
        <v>934</v>
      </c>
      <c r="R49" s="383" t="s">
        <v>549</v>
      </c>
      <c r="S49" s="400"/>
      <c r="T49" s="114"/>
      <c r="U49" s="107"/>
    </row>
    <row r="50" spans="14:21" ht="15.75" thickBot="1" x14ac:dyDescent="0.3">
      <c r="N50" s="399"/>
      <c r="O50" s="118" t="s">
        <v>1107</v>
      </c>
      <c r="P50" s="118" t="s">
        <v>1107</v>
      </c>
      <c r="Q50" s="395"/>
      <c r="R50" s="393"/>
      <c r="S50" s="401"/>
      <c r="T50" s="114"/>
      <c r="U50" s="107"/>
    </row>
    <row r="51" spans="14:21" ht="16.5" thickBot="1" x14ac:dyDescent="0.3">
      <c r="N51" s="398" t="s">
        <v>1294</v>
      </c>
      <c r="O51" s="118">
        <v>250</v>
      </c>
      <c r="P51" s="120"/>
      <c r="Q51" s="394"/>
      <c r="R51" s="383"/>
      <c r="S51" s="385"/>
      <c r="T51" s="114"/>
      <c r="U51" s="107"/>
    </row>
    <row r="52" spans="14:21" ht="16.5" thickBot="1" x14ac:dyDescent="0.3">
      <c r="N52" s="399"/>
      <c r="O52" s="118" t="s">
        <v>1295</v>
      </c>
      <c r="P52" s="124"/>
      <c r="Q52" s="395"/>
      <c r="R52" s="393"/>
      <c r="S52" s="390"/>
      <c r="T52" s="114"/>
      <c r="U52" s="107"/>
    </row>
    <row r="53" spans="14:21" ht="15.75" thickBot="1" x14ac:dyDescent="0.3">
      <c r="N53" s="398" t="s">
        <v>1296</v>
      </c>
      <c r="O53" s="118">
        <v>500</v>
      </c>
      <c r="P53" s="118">
        <v>4000</v>
      </c>
      <c r="Q53" s="394" t="s">
        <v>1298</v>
      </c>
      <c r="R53" s="383" t="s">
        <v>1299</v>
      </c>
      <c r="S53" s="385"/>
      <c r="T53" s="114"/>
      <c r="U53" s="107"/>
    </row>
    <row r="54" spans="14:21" ht="15.75" thickBot="1" x14ac:dyDescent="0.3">
      <c r="N54" s="399"/>
      <c r="O54" s="118" t="s">
        <v>1297</v>
      </c>
      <c r="P54" s="118" t="s">
        <v>1297</v>
      </c>
      <c r="Q54" s="395"/>
      <c r="R54" s="393"/>
      <c r="S54" s="390"/>
      <c r="T54" s="114"/>
      <c r="U54" s="107"/>
    </row>
    <row r="55" spans="14:21" ht="21" x14ac:dyDescent="0.25">
      <c r="N55" s="125"/>
      <c r="O55" s="387"/>
      <c r="P55" s="128"/>
      <c r="Q55" s="119"/>
      <c r="R55" s="116"/>
      <c r="S55" s="385"/>
      <c r="T55" s="391"/>
      <c r="U55" s="392"/>
    </row>
    <row r="56" spans="14:21" ht="21" x14ac:dyDescent="0.25">
      <c r="N56" s="122" t="s">
        <v>1300</v>
      </c>
      <c r="O56" s="388"/>
      <c r="P56" s="129"/>
      <c r="Q56" s="119" t="s">
        <v>362</v>
      </c>
      <c r="R56" s="116" t="s">
        <v>754</v>
      </c>
      <c r="S56" s="386"/>
      <c r="T56" s="391"/>
      <c r="U56" s="392"/>
    </row>
    <row r="57" spans="14:21" ht="19.5" thickBot="1" x14ac:dyDescent="0.3">
      <c r="N57" s="126"/>
      <c r="O57" s="389"/>
      <c r="P57" s="118">
        <v>2500</v>
      </c>
      <c r="Q57" s="119"/>
      <c r="R57" s="116"/>
      <c r="S57" s="386"/>
      <c r="T57" s="391"/>
      <c r="U57" s="392"/>
    </row>
    <row r="58" spans="14:21" ht="16.5" thickBot="1" x14ac:dyDescent="0.3">
      <c r="N58" s="127"/>
      <c r="O58" s="124"/>
      <c r="P58" s="118" t="s">
        <v>1301</v>
      </c>
      <c r="Q58" s="130"/>
      <c r="R58" s="127"/>
      <c r="S58" s="390"/>
      <c r="T58" s="114"/>
      <c r="U58" s="107"/>
    </row>
    <row r="59" spans="14:21" ht="15.75" thickBot="1" x14ac:dyDescent="0.3">
      <c r="N59" s="383" t="s">
        <v>290</v>
      </c>
      <c r="O59" s="118">
        <v>250</v>
      </c>
      <c r="P59" s="118">
        <v>2000</v>
      </c>
      <c r="Q59" s="394" t="s">
        <v>1306</v>
      </c>
      <c r="R59" s="383" t="s">
        <v>1307</v>
      </c>
      <c r="S59" s="396"/>
      <c r="T59" s="114"/>
      <c r="U59" s="107"/>
    </row>
    <row r="60" spans="14:21" ht="15.75" thickBot="1" x14ac:dyDescent="0.3">
      <c r="N60" s="393"/>
      <c r="O60" s="131" t="s">
        <v>1308</v>
      </c>
      <c r="P60" s="118" t="s">
        <v>1309</v>
      </c>
      <c r="Q60" s="395"/>
      <c r="R60" s="393"/>
      <c r="S60" s="397"/>
      <c r="T60" s="114"/>
      <c r="U60" s="107"/>
    </row>
    <row r="61" spans="14:21" ht="14.25" customHeight="1" thickBot="1" x14ac:dyDescent="0.3">
      <c r="N61" s="379" t="s">
        <v>1310</v>
      </c>
      <c r="O61" s="124">
        <v>250</v>
      </c>
      <c r="P61" s="118">
        <v>1500</v>
      </c>
      <c r="Q61" s="381">
        <v>0.16666666666666666</v>
      </c>
      <c r="R61" s="383" t="s">
        <v>672</v>
      </c>
      <c r="S61" s="385"/>
      <c r="T61" s="114"/>
      <c r="U61" s="107"/>
    </row>
    <row r="62" spans="14:21" ht="34.5" customHeight="1" x14ac:dyDescent="0.25">
      <c r="N62" s="380"/>
      <c r="O62" s="123" t="s">
        <v>1311</v>
      </c>
      <c r="P62" s="123" t="s">
        <v>1311</v>
      </c>
      <c r="Q62" s="382"/>
      <c r="R62" s="384"/>
      <c r="S62" s="386"/>
      <c r="T62" s="114"/>
      <c r="U62" s="107"/>
    </row>
    <row r="63" spans="14:21" ht="23.25" customHeight="1" thickBot="1" x14ac:dyDescent="0.3">
      <c r="N63" s="377" t="s">
        <v>799</v>
      </c>
      <c r="O63" s="124">
        <v>250</v>
      </c>
      <c r="P63" s="133">
        <v>1500</v>
      </c>
      <c r="Q63" s="371" t="s">
        <v>563</v>
      </c>
      <c r="R63" s="373" t="s">
        <v>1097</v>
      </c>
      <c r="S63" s="132"/>
      <c r="T63" s="114"/>
      <c r="U63" s="107"/>
    </row>
    <row r="64" spans="14:21" ht="15" customHeight="1" x14ac:dyDescent="0.25">
      <c r="N64" s="378"/>
      <c r="O64" s="123" t="s">
        <v>1312</v>
      </c>
      <c r="P64" s="123" t="s">
        <v>1312</v>
      </c>
      <c r="Q64" s="372"/>
      <c r="R64" s="374"/>
      <c r="S64" s="132"/>
      <c r="T64" s="114"/>
      <c r="U64" s="107"/>
    </row>
    <row r="65" spans="14:21" ht="15" customHeight="1" thickBot="1" x14ac:dyDescent="0.3">
      <c r="N65" s="377" t="s">
        <v>799</v>
      </c>
      <c r="O65" s="124">
        <v>251</v>
      </c>
      <c r="P65" s="133">
        <v>1500</v>
      </c>
      <c r="Q65" s="371"/>
      <c r="R65" s="373"/>
      <c r="S65" s="132"/>
      <c r="T65" s="114"/>
      <c r="U65" s="107"/>
    </row>
    <row r="66" spans="14:21" ht="15.75" customHeight="1" x14ac:dyDescent="0.25">
      <c r="N66" s="378"/>
      <c r="O66" s="136"/>
      <c r="P66" s="123" t="s">
        <v>1312</v>
      </c>
      <c r="Q66" s="372"/>
      <c r="R66" s="374"/>
      <c r="S66" s="132"/>
      <c r="T66" s="114"/>
      <c r="U66" s="107"/>
    </row>
    <row r="67" spans="14:21" ht="19.5" customHeight="1" thickBot="1" x14ac:dyDescent="0.3">
      <c r="N67" s="377" t="s">
        <v>1313</v>
      </c>
      <c r="O67" s="124">
        <v>250</v>
      </c>
      <c r="P67" s="133">
        <v>1500</v>
      </c>
      <c r="Q67" s="371" t="s">
        <v>71</v>
      </c>
      <c r="R67" s="373" t="s">
        <v>1315</v>
      </c>
      <c r="S67" s="132"/>
    </row>
    <row r="68" spans="14:21" ht="18.75" customHeight="1" x14ac:dyDescent="0.25">
      <c r="N68" s="378"/>
      <c r="O68" s="137" t="s">
        <v>1314</v>
      </c>
      <c r="P68" s="137" t="s">
        <v>1314</v>
      </c>
      <c r="Q68" s="372"/>
      <c r="R68" s="374"/>
      <c r="S68" s="132"/>
    </row>
    <row r="69" spans="14:21" ht="18.75" x14ac:dyDescent="0.25">
      <c r="N69" s="377"/>
      <c r="O69" s="375"/>
      <c r="P69" s="133"/>
      <c r="Q69" s="134"/>
      <c r="R69" s="135"/>
      <c r="S69" s="132"/>
    </row>
    <row r="70" spans="14:21" ht="18.75" x14ac:dyDescent="0.25">
      <c r="N70" s="378"/>
      <c r="O70" s="376"/>
      <c r="P70" s="133"/>
      <c r="Q70" s="134"/>
      <c r="R70" s="135"/>
      <c r="S70" s="132"/>
    </row>
    <row r="71" spans="14:21" ht="18.75" x14ac:dyDescent="0.25">
      <c r="N71" s="377"/>
      <c r="O71" s="375"/>
      <c r="P71" s="133"/>
      <c r="Q71" s="134"/>
      <c r="R71" s="135"/>
      <c r="S71" s="132"/>
    </row>
    <row r="72" spans="14:21" ht="18.75" x14ac:dyDescent="0.25">
      <c r="N72" s="378"/>
      <c r="O72" s="376"/>
      <c r="P72" s="133"/>
      <c r="Q72" s="134"/>
      <c r="R72" s="135"/>
      <c r="S72" s="132"/>
    </row>
    <row r="73" spans="14:21" ht="18.75" x14ac:dyDescent="0.25">
      <c r="N73" s="377"/>
      <c r="O73" s="375"/>
      <c r="P73" s="133"/>
      <c r="Q73" s="134"/>
      <c r="R73" s="135"/>
      <c r="S73" s="132"/>
    </row>
    <row r="74" spans="14:21" ht="18.75" x14ac:dyDescent="0.25">
      <c r="N74" s="378"/>
      <c r="O74" s="376"/>
      <c r="P74" s="133"/>
      <c r="Q74" s="134"/>
      <c r="R74" s="135"/>
      <c r="S74" s="132"/>
    </row>
    <row r="75" spans="14:21" ht="18.75" x14ac:dyDescent="0.25">
      <c r="N75" s="377"/>
      <c r="O75" s="375"/>
      <c r="P75" s="133"/>
      <c r="Q75" s="134"/>
      <c r="R75" s="135"/>
      <c r="S75" s="132"/>
    </row>
    <row r="76" spans="14:21" ht="18.75" x14ac:dyDescent="0.25">
      <c r="N76" s="378"/>
      <c r="O76" s="376"/>
      <c r="P76" s="133"/>
      <c r="Q76" s="134"/>
      <c r="R76" s="135"/>
      <c r="S76" s="132"/>
    </row>
    <row r="77" spans="14:21" ht="18.75" x14ac:dyDescent="0.25">
      <c r="N77" s="377"/>
      <c r="O77" s="375"/>
      <c r="P77" s="133"/>
      <c r="Q77" s="134"/>
      <c r="R77" s="135"/>
      <c r="S77" s="132"/>
    </row>
    <row r="78" spans="14:21" ht="18.75" x14ac:dyDescent="0.25">
      <c r="N78" s="378"/>
      <c r="O78" s="376"/>
      <c r="P78" s="133"/>
      <c r="Q78" s="134"/>
      <c r="R78" s="135"/>
      <c r="S78" s="132"/>
    </row>
    <row r="79" spans="14:21" ht="18.75" x14ac:dyDescent="0.25">
      <c r="N79" s="377"/>
      <c r="O79" s="375"/>
      <c r="P79" s="133"/>
      <c r="Q79" s="134"/>
      <c r="R79" s="135"/>
      <c r="S79" s="132"/>
    </row>
    <row r="80" spans="14:21" ht="18.75" x14ac:dyDescent="0.25">
      <c r="N80" s="378"/>
      <c r="O80" s="376"/>
      <c r="P80" s="133"/>
      <c r="Q80" s="134"/>
      <c r="R80" s="135"/>
      <c r="S80" s="132"/>
    </row>
    <row r="81" spans="14:19" ht="18.75" x14ac:dyDescent="0.25">
      <c r="N81" s="377"/>
      <c r="O81" s="375"/>
      <c r="P81" s="133"/>
      <c r="Q81" s="134"/>
      <c r="R81" s="135"/>
      <c r="S81" s="132"/>
    </row>
    <row r="82" spans="14:19" ht="18.75" x14ac:dyDescent="0.25">
      <c r="N82" s="378"/>
      <c r="O82" s="376"/>
      <c r="P82" s="133"/>
      <c r="Q82" s="134"/>
      <c r="R82" s="135"/>
      <c r="S82" s="132"/>
    </row>
    <row r="83" spans="14:19" ht="18.75" x14ac:dyDescent="0.25">
      <c r="N83" s="377"/>
      <c r="O83" s="375"/>
      <c r="P83" s="133"/>
      <c r="Q83" s="134"/>
      <c r="R83" s="135"/>
      <c r="S83" s="132"/>
    </row>
    <row r="84" spans="14:19" ht="18.75" x14ac:dyDescent="0.25">
      <c r="N84" s="378"/>
      <c r="O84" s="376"/>
      <c r="P84" s="133"/>
      <c r="Q84" s="134"/>
      <c r="R84" s="135"/>
      <c r="S84" s="132"/>
    </row>
    <row r="85" spans="14:19" ht="18.75" x14ac:dyDescent="0.25">
      <c r="N85" s="377"/>
      <c r="O85" s="375"/>
      <c r="P85" s="133"/>
      <c r="Q85" s="134"/>
      <c r="R85" s="135"/>
      <c r="S85" s="132"/>
    </row>
    <row r="86" spans="14:19" ht="18.75" x14ac:dyDescent="0.25">
      <c r="N86" s="378"/>
      <c r="O86" s="376"/>
      <c r="P86" s="133"/>
      <c r="Q86" s="134"/>
      <c r="R86" s="135"/>
      <c r="S86" s="132"/>
    </row>
    <row r="87" spans="14:19" ht="18.75" x14ac:dyDescent="0.25">
      <c r="N87" s="377"/>
      <c r="O87" s="375"/>
      <c r="P87" s="133"/>
      <c r="Q87" s="134"/>
      <c r="R87" s="135"/>
      <c r="S87" s="132"/>
    </row>
    <row r="88" spans="14:19" ht="18.75" x14ac:dyDescent="0.25">
      <c r="N88" s="378"/>
      <c r="O88" s="376"/>
      <c r="P88" s="133"/>
      <c r="Q88" s="134"/>
      <c r="R88" s="135"/>
      <c r="S88" s="132"/>
    </row>
    <row r="89" spans="14:19" x14ac:dyDescent="0.25">
      <c r="O89" s="375"/>
    </row>
    <row r="90" spans="14:19" x14ac:dyDescent="0.25">
      <c r="O90" s="376"/>
    </row>
    <row r="91" spans="14:19" x14ac:dyDescent="0.25">
      <c r="O91" s="375"/>
    </row>
    <row r="92" spans="14:19" x14ac:dyDescent="0.25">
      <c r="O92" s="376"/>
    </row>
    <row r="93" spans="14:19" x14ac:dyDescent="0.25">
      <c r="O93" s="375"/>
    </row>
    <row r="94" spans="14:19" x14ac:dyDescent="0.25">
      <c r="O94" s="376"/>
    </row>
    <row r="95" spans="14:19" x14ac:dyDescent="0.25">
      <c r="O95" s="375"/>
    </row>
    <row r="96" spans="14:19" x14ac:dyDescent="0.25">
      <c r="O96" s="376"/>
    </row>
    <row r="97" spans="15:15" x14ac:dyDescent="0.25">
      <c r="O97" s="375"/>
    </row>
    <row r="98" spans="15:15" x14ac:dyDescent="0.25">
      <c r="O98" s="376"/>
    </row>
    <row r="99" spans="15:15" x14ac:dyDescent="0.25">
      <c r="O99" s="375"/>
    </row>
    <row r="100" spans="15:15" x14ac:dyDescent="0.25">
      <c r="O100" s="376"/>
    </row>
    <row r="101" spans="15:15" x14ac:dyDescent="0.25">
      <c r="O101" s="375"/>
    </row>
    <row r="102" spans="15:15" x14ac:dyDescent="0.25">
      <c r="O102" s="376"/>
    </row>
    <row r="103" spans="15:15" x14ac:dyDescent="0.25">
      <c r="O103" s="375"/>
    </row>
    <row r="104" spans="15:15" x14ac:dyDescent="0.25">
      <c r="O104" s="376"/>
    </row>
  </sheetData>
  <mergeCells count="145">
    <mergeCell ref="N11:N12"/>
    <mergeCell ref="Q11:Q12"/>
    <mergeCell ref="R11:R12"/>
    <mergeCell ref="S11:S12"/>
    <mergeCell ref="N13:N14"/>
    <mergeCell ref="Q13:Q14"/>
    <mergeCell ref="R13:R14"/>
    <mergeCell ref="S13:S14"/>
    <mergeCell ref="N7:N8"/>
    <mergeCell ref="Q7:Q8"/>
    <mergeCell ref="R7:R8"/>
    <mergeCell ref="S7:S8"/>
    <mergeCell ref="N9:N10"/>
    <mergeCell ref="Q9:Q10"/>
    <mergeCell ref="R9:R10"/>
    <mergeCell ref="S9:S10"/>
    <mergeCell ref="N19:N20"/>
    <mergeCell ref="Q19:Q20"/>
    <mergeCell ref="R19:R20"/>
    <mergeCell ref="S19:S20"/>
    <mergeCell ref="N21:N22"/>
    <mergeCell ref="Q21:Q22"/>
    <mergeCell ref="R21:R22"/>
    <mergeCell ref="S21:S22"/>
    <mergeCell ref="N15:N16"/>
    <mergeCell ref="Q15:Q16"/>
    <mergeCell ref="R15:R16"/>
    <mergeCell ref="S15:S16"/>
    <mergeCell ref="N17:N18"/>
    <mergeCell ref="Q17:Q18"/>
    <mergeCell ref="R17:R18"/>
    <mergeCell ref="S17:S18"/>
    <mergeCell ref="N27:N28"/>
    <mergeCell ref="Q27:Q28"/>
    <mergeCell ref="R27:R28"/>
    <mergeCell ref="S27:S28"/>
    <mergeCell ref="N29:N30"/>
    <mergeCell ref="Q29:Q30"/>
    <mergeCell ref="R29:R30"/>
    <mergeCell ref="S29:S30"/>
    <mergeCell ref="N23:N24"/>
    <mergeCell ref="Q23:Q24"/>
    <mergeCell ref="R23:R24"/>
    <mergeCell ref="S23:S24"/>
    <mergeCell ref="N25:N26"/>
    <mergeCell ref="Q25:Q26"/>
    <mergeCell ref="R25:R26"/>
    <mergeCell ref="S25:S26"/>
    <mergeCell ref="N35:N36"/>
    <mergeCell ref="Q35:Q36"/>
    <mergeCell ref="R35:R36"/>
    <mergeCell ref="S35:S36"/>
    <mergeCell ref="N37:N38"/>
    <mergeCell ref="Q37:Q38"/>
    <mergeCell ref="R37:R38"/>
    <mergeCell ref="S37:S38"/>
    <mergeCell ref="N31:N32"/>
    <mergeCell ref="Q31:Q32"/>
    <mergeCell ref="R31:R32"/>
    <mergeCell ref="S31:S32"/>
    <mergeCell ref="N33:N34"/>
    <mergeCell ref="Q33:Q34"/>
    <mergeCell ref="R33:R34"/>
    <mergeCell ref="S33:S34"/>
    <mergeCell ref="N43:N44"/>
    <mergeCell ref="Q43:Q44"/>
    <mergeCell ref="R43:R44"/>
    <mergeCell ref="S43:S44"/>
    <mergeCell ref="N45:N46"/>
    <mergeCell ref="Q45:Q46"/>
    <mergeCell ref="R45:R46"/>
    <mergeCell ref="S45:S46"/>
    <mergeCell ref="N39:N40"/>
    <mergeCell ref="Q39:Q40"/>
    <mergeCell ref="R39:R40"/>
    <mergeCell ref="S39:S40"/>
    <mergeCell ref="N41:N42"/>
    <mergeCell ref="Q41:Q42"/>
    <mergeCell ref="R41:R42"/>
    <mergeCell ref="S41:S42"/>
    <mergeCell ref="N51:N52"/>
    <mergeCell ref="Q51:Q52"/>
    <mergeCell ref="R51:R52"/>
    <mergeCell ref="S51:S52"/>
    <mergeCell ref="N53:N54"/>
    <mergeCell ref="Q53:Q54"/>
    <mergeCell ref="R53:R54"/>
    <mergeCell ref="S53:S54"/>
    <mergeCell ref="N47:N48"/>
    <mergeCell ref="Q47:Q48"/>
    <mergeCell ref="R47:R48"/>
    <mergeCell ref="S47:S48"/>
    <mergeCell ref="N49:N50"/>
    <mergeCell ref="Q49:Q50"/>
    <mergeCell ref="R49:R50"/>
    <mergeCell ref="S49:S50"/>
    <mergeCell ref="S61:S62"/>
    <mergeCell ref="O55:O57"/>
    <mergeCell ref="S55:S58"/>
    <mergeCell ref="T55:T57"/>
    <mergeCell ref="U55:U57"/>
    <mergeCell ref="N59:N60"/>
    <mergeCell ref="Q59:Q60"/>
    <mergeCell ref="R59:R60"/>
    <mergeCell ref="S59:S60"/>
    <mergeCell ref="N63:N64"/>
    <mergeCell ref="N65:N66"/>
    <mergeCell ref="N67:N68"/>
    <mergeCell ref="N69:N70"/>
    <mergeCell ref="N71:N72"/>
    <mergeCell ref="N73:N74"/>
    <mergeCell ref="N61:N62"/>
    <mergeCell ref="Q61:Q62"/>
    <mergeCell ref="R61:R62"/>
    <mergeCell ref="N87:N88"/>
    <mergeCell ref="O69:O70"/>
    <mergeCell ref="O71:O72"/>
    <mergeCell ref="O73:O74"/>
    <mergeCell ref="O75:O76"/>
    <mergeCell ref="O77:O78"/>
    <mergeCell ref="O79:O80"/>
    <mergeCell ref="N75:N76"/>
    <mergeCell ref="N77:N78"/>
    <mergeCell ref="N79:N80"/>
    <mergeCell ref="N81:N82"/>
    <mergeCell ref="N83:N84"/>
    <mergeCell ref="N85:N86"/>
    <mergeCell ref="O99:O100"/>
    <mergeCell ref="O101:O102"/>
    <mergeCell ref="O103:O104"/>
    <mergeCell ref="O81:O82"/>
    <mergeCell ref="O83:O84"/>
    <mergeCell ref="O85:O86"/>
    <mergeCell ref="O87:O88"/>
    <mergeCell ref="O89:O90"/>
    <mergeCell ref="O91:O92"/>
    <mergeCell ref="Q63:Q64"/>
    <mergeCell ref="R63:R64"/>
    <mergeCell ref="R65:R66"/>
    <mergeCell ref="Q65:Q66"/>
    <mergeCell ref="Q67:Q68"/>
    <mergeCell ref="R67:R68"/>
    <mergeCell ref="O93:O94"/>
    <mergeCell ref="O95:O96"/>
    <mergeCell ref="O97:O98"/>
  </mergeCells>
  <pageMargins left="0.7" right="0.7" top="0.75" bottom="0.75" header="0.3" footer="0.3"/>
  <pageSetup paperSize="9" orientation="portrait" horizontalDpi="4294967293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5C146-3EC9-4F30-BB3C-B04930667E03}">
  <dimension ref="B5:S72"/>
  <sheetViews>
    <sheetView rightToLeft="1" topLeftCell="D1" zoomScale="77" zoomScaleNormal="77" workbookViewId="0">
      <selection activeCell="N5" sqref="N5:S44"/>
    </sheetView>
  </sheetViews>
  <sheetFormatPr defaultColWidth="11.42578125" defaultRowHeight="15" x14ac:dyDescent="0.25"/>
  <cols>
    <col min="3" max="3" width="18.85546875" customWidth="1"/>
    <col min="4" max="4" width="19.7109375" customWidth="1"/>
    <col min="5" max="6" width="30" bestFit="1" customWidth="1"/>
    <col min="7" max="7" width="20.85546875" customWidth="1"/>
    <col min="8" max="8" width="20.7109375" customWidth="1"/>
    <col min="9" max="9" width="19" customWidth="1"/>
    <col min="13" max="13" width="9.85546875" customWidth="1"/>
    <col min="14" max="14" width="24" customWidth="1"/>
    <col min="15" max="15" width="29" customWidth="1"/>
    <col min="16" max="16" width="30.28515625" customWidth="1"/>
    <col min="17" max="17" width="18.42578125" customWidth="1"/>
    <col min="18" max="18" width="18.7109375" customWidth="1"/>
    <col min="19" max="19" width="34.28515625" customWidth="1"/>
  </cols>
  <sheetData>
    <row r="5" spans="2:19" x14ac:dyDescent="0.25">
      <c r="N5" s="427" t="s">
        <v>658</v>
      </c>
      <c r="O5" s="427"/>
      <c r="P5" s="427"/>
      <c r="Q5" s="427"/>
      <c r="R5" s="427"/>
      <c r="S5" s="427"/>
    </row>
    <row r="6" spans="2:19" ht="15" customHeight="1" x14ac:dyDescent="0.25">
      <c r="N6" s="427"/>
      <c r="O6" s="427"/>
      <c r="P6" s="427"/>
      <c r="Q6" s="427"/>
      <c r="R6" s="427"/>
      <c r="S6" s="427"/>
    </row>
    <row r="7" spans="2:19" ht="15" customHeight="1" x14ac:dyDescent="0.25">
      <c r="N7" s="427"/>
      <c r="O7" s="427"/>
      <c r="P7" s="427"/>
      <c r="Q7" s="427"/>
      <c r="R7" s="427"/>
      <c r="S7" s="427"/>
    </row>
    <row r="8" spans="2:19" ht="29.25" customHeight="1" thickBot="1" x14ac:dyDescent="0.3">
      <c r="D8" s="334" t="s">
        <v>657</v>
      </c>
      <c r="E8" s="335"/>
      <c r="F8" s="335"/>
      <c r="G8" s="335"/>
      <c r="H8" s="335"/>
      <c r="I8" s="336"/>
      <c r="N8" s="62" t="s">
        <v>215</v>
      </c>
      <c r="O8" s="46" t="s">
        <v>2</v>
      </c>
      <c r="P8" s="74" t="s">
        <v>357</v>
      </c>
      <c r="Q8" s="46" t="s">
        <v>358</v>
      </c>
      <c r="R8" s="46" t="s">
        <v>359</v>
      </c>
      <c r="S8" s="74" t="s">
        <v>360</v>
      </c>
    </row>
    <row r="9" spans="2:19" ht="26.25" customHeight="1" x14ac:dyDescent="0.25">
      <c r="D9" s="337"/>
      <c r="E9" s="338"/>
      <c r="F9" s="338"/>
      <c r="G9" s="338"/>
      <c r="H9" s="338"/>
      <c r="I9" s="339"/>
      <c r="N9" s="434" t="s">
        <v>659</v>
      </c>
      <c r="O9" s="85">
        <v>250</v>
      </c>
      <c r="P9" s="85">
        <v>3000</v>
      </c>
      <c r="Q9" s="349" t="s">
        <v>362</v>
      </c>
      <c r="R9" s="332" t="s">
        <v>661</v>
      </c>
      <c r="S9" s="332"/>
    </row>
    <row r="10" spans="2:19" ht="33.75" customHeight="1" thickBot="1" x14ac:dyDescent="0.3">
      <c r="D10" s="62" t="s">
        <v>215</v>
      </c>
      <c r="E10" s="46" t="s">
        <v>2</v>
      </c>
      <c r="F10" s="63" t="s">
        <v>357</v>
      </c>
      <c r="G10" s="46" t="s">
        <v>358</v>
      </c>
      <c r="H10" s="46" t="s">
        <v>359</v>
      </c>
      <c r="I10" s="43" t="s">
        <v>360</v>
      </c>
      <c r="N10" s="333"/>
      <c r="O10" s="85" t="s">
        <v>660</v>
      </c>
      <c r="P10" s="85" t="s">
        <v>660</v>
      </c>
      <c r="Q10" s="428"/>
      <c r="R10" s="333"/>
      <c r="S10" s="333"/>
    </row>
    <row r="11" spans="2:19" ht="33" customHeight="1" x14ac:dyDescent="0.25">
      <c r="D11" s="435" t="s">
        <v>377</v>
      </c>
      <c r="E11" s="32">
        <v>250</v>
      </c>
      <c r="F11" s="28"/>
      <c r="G11" s="324" t="s">
        <v>362</v>
      </c>
      <c r="H11" s="140" t="s">
        <v>374</v>
      </c>
      <c r="I11" s="257" t="s">
        <v>375</v>
      </c>
      <c r="J11" s="340"/>
      <c r="N11" s="332" t="s">
        <v>662</v>
      </c>
      <c r="O11" s="85">
        <v>250</v>
      </c>
      <c r="P11" s="85">
        <v>3000</v>
      </c>
      <c r="Q11" s="349" t="s">
        <v>362</v>
      </c>
      <c r="R11" s="332" t="s">
        <v>406</v>
      </c>
      <c r="S11" s="332"/>
    </row>
    <row r="12" spans="2:19" ht="27.75" customHeight="1" x14ac:dyDescent="0.25">
      <c r="D12" s="348"/>
      <c r="E12" s="32" t="s">
        <v>373</v>
      </c>
      <c r="F12" s="33"/>
      <c r="G12" s="324"/>
      <c r="H12" s="141"/>
      <c r="I12" s="321"/>
      <c r="J12" s="341"/>
      <c r="N12" s="333"/>
      <c r="O12" s="85" t="s">
        <v>663</v>
      </c>
      <c r="P12" s="85" t="s">
        <v>663</v>
      </c>
      <c r="Q12" s="428"/>
      <c r="R12" s="333"/>
      <c r="S12" s="333"/>
    </row>
    <row r="13" spans="2:19" ht="25.5" customHeight="1" x14ac:dyDescent="0.25">
      <c r="D13" s="435" t="s">
        <v>376</v>
      </c>
      <c r="E13" s="32">
        <v>250</v>
      </c>
      <c r="F13" s="28"/>
      <c r="G13" s="324" t="s">
        <v>362</v>
      </c>
      <c r="H13" s="140" t="s">
        <v>379</v>
      </c>
      <c r="I13" s="257" t="s">
        <v>375</v>
      </c>
      <c r="J13" s="140"/>
      <c r="N13" s="332" t="s">
        <v>726</v>
      </c>
      <c r="O13" s="85">
        <v>250</v>
      </c>
      <c r="P13" s="85">
        <v>3000</v>
      </c>
      <c r="Q13" s="349" t="s">
        <v>362</v>
      </c>
      <c r="R13" s="332" t="s">
        <v>761</v>
      </c>
      <c r="S13" s="422"/>
    </row>
    <row r="14" spans="2:19" ht="20.25" customHeight="1" x14ac:dyDescent="0.25">
      <c r="D14" s="348"/>
      <c r="E14" s="32" t="s">
        <v>378</v>
      </c>
      <c r="F14" s="33"/>
      <c r="G14" s="324"/>
      <c r="H14" s="141"/>
      <c r="I14" s="321"/>
      <c r="J14" s="141"/>
      <c r="N14" s="333"/>
      <c r="O14" s="85" t="s">
        <v>760</v>
      </c>
      <c r="P14" s="85" t="s">
        <v>760</v>
      </c>
      <c r="Q14" s="428"/>
      <c r="R14" s="333"/>
      <c r="S14" s="423"/>
    </row>
    <row r="15" spans="2:19" ht="18.75" customHeight="1" x14ac:dyDescent="0.25">
      <c r="B15" s="61"/>
      <c r="C15" s="61"/>
      <c r="D15" s="348" t="s">
        <v>387</v>
      </c>
      <c r="E15" s="32">
        <v>250</v>
      </c>
      <c r="F15" s="28">
        <v>2000</v>
      </c>
      <c r="G15" s="324" t="s">
        <v>388</v>
      </c>
      <c r="H15" s="140" t="s">
        <v>389</v>
      </c>
      <c r="I15" s="320"/>
      <c r="J15" s="196"/>
      <c r="N15" s="332" t="s">
        <v>762</v>
      </c>
      <c r="O15" s="85">
        <v>250</v>
      </c>
      <c r="P15" s="85">
        <v>2000</v>
      </c>
      <c r="Q15" s="349" t="s">
        <v>388</v>
      </c>
      <c r="R15" s="332"/>
      <c r="S15" s="422"/>
    </row>
    <row r="16" spans="2:19" ht="15" customHeight="1" x14ac:dyDescent="0.25">
      <c r="B16" s="61"/>
      <c r="C16" s="61"/>
      <c r="D16" s="348"/>
      <c r="E16" s="32" t="s">
        <v>392</v>
      </c>
      <c r="F16" s="32" t="s">
        <v>392</v>
      </c>
      <c r="G16" s="324"/>
      <c r="H16" s="141"/>
      <c r="I16" s="321"/>
      <c r="J16" s="197"/>
      <c r="N16" s="333"/>
      <c r="O16" s="85" t="s">
        <v>708</v>
      </c>
      <c r="P16" s="85" t="s">
        <v>708</v>
      </c>
      <c r="Q16" s="428"/>
      <c r="R16" s="333"/>
      <c r="S16" s="423"/>
    </row>
    <row r="17" spans="4:19" ht="18.75" customHeight="1" x14ac:dyDescent="0.25">
      <c r="D17" s="140" t="s">
        <v>390</v>
      </c>
      <c r="E17" s="32">
        <v>250</v>
      </c>
      <c r="F17" s="28">
        <v>3000</v>
      </c>
      <c r="G17" s="324" t="s">
        <v>54</v>
      </c>
      <c r="H17" s="140" t="s">
        <v>391</v>
      </c>
      <c r="I17" s="320"/>
      <c r="J17" s="196"/>
      <c r="N17" s="332" t="s">
        <v>763</v>
      </c>
      <c r="O17" s="85"/>
      <c r="P17" s="85">
        <v>500</v>
      </c>
      <c r="Q17" s="349"/>
      <c r="R17" s="332"/>
      <c r="S17" s="422"/>
    </row>
    <row r="18" spans="4:19" ht="15" customHeight="1" x14ac:dyDescent="0.25">
      <c r="D18" s="141"/>
      <c r="E18" s="32" t="s">
        <v>393</v>
      </c>
      <c r="F18" s="32" t="s">
        <v>393</v>
      </c>
      <c r="G18" s="324"/>
      <c r="H18" s="141"/>
      <c r="I18" s="321"/>
      <c r="J18" s="197"/>
      <c r="N18" s="333"/>
      <c r="O18" s="85"/>
      <c r="P18" s="85" t="s">
        <v>710</v>
      </c>
      <c r="Q18" s="428"/>
      <c r="R18" s="333"/>
      <c r="S18" s="423"/>
    </row>
    <row r="19" spans="4:19" ht="18.75" customHeight="1" x14ac:dyDescent="0.25">
      <c r="D19" s="140" t="s">
        <v>394</v>
      </c>
      <c r="E19" s="32">
        <v>250</v>
      </c>
      <c r="F19" s="28">
        <v>3000</v>
      </c>
      <c r="G19" s="324" t="s">
        <v>54</v>
      </c>
      <c r="H19" s="140" t="s">
        <v>396</v>
      </c>
      <c r="I19" s="320"/>
      <c r="J19" s="196"/>
      <c r="N19" s="332" t="s">
        <v>431</v>
      </c>
      <c r="O19" s="85"/>
      <c r="P19" s="85">
        <v>2000</v>
      </c>
      <c r="Q19" s="349" t="s">
        <v>388</v>
      </c>
      <c r="R19" s="332" t="s">
        <v>814</v>
      </c>
      <c r="S19" s="422" t="s">
        <v>815</v>
      </c>
    </row>
    <row r="20" spans="4:19" ht="15" customHeight="1" x14ac:dyDescent="0.25">
      <c r="D20" s="141"/>
      <c r="E20" s="32" t="s">
        <v>401</v>
      </c>
      <c r="F20" s="32" t="s">
        <v>395</v>
      </c>
      <c r="G20" s="324"/>
      <c r="H20" s="141"/>
      <c r="I20" s="321"/>
      <c r="J20" s="197"/>
      <c r="N20" s="333"/>
      <c r="O20" s="85"/>
      <c r="P20" s="85" t="s">
        <v>813</v>
      </c>
      <c r="Q20" s="428"/>
      <c r="R20" s="333"/>
      <c r="S20" s="423"/>
    </row>
    <row r="21" spans="4:19" ht="18.75" customHeight="1" x14ac:dyDescent="0.25">
      <c r="D21" s="140" t="s">
        <v>394</v>
      </c>
      <c r="E21" s="32">
        <v>250</v>
      </c>
      <c r="F21" s="28">
        <v>2500</v>
      </c>
      <c r="G21" s="324" t="s">
        <v>54</v>
      </c>
      <c r="H21" s="140" t="s">
        <v>389</v>
      </c>
      <c r="I21" s="320">
        <v>551149295</v>
      </c>
      <c r="J21" s="196"/>
      <c r="N21" s="332" t="s">
        <v>284</v>
      </c>
      <c r="O21" s="85">
        <v>250</v>
      </c>
      <c r="P21" s="85">
        <v>2000</v>
      </c>
      <c r="Q21" s="349" t="s">
        <v>862</v>
      </c>
      <c r="R21" s="332" t="s">
        <v>814</v>
      </c>
      <c r="S21" s="422"/>
    </row>
    <row r="22" spans="4:19" ht="15" customHeight="1" x14ac:dyDescent="0.25">
      <c r="D22" s="141"/>
      <c r="E22" s="32" t="s">
        <v>401</v>
      </c>
      <c r="F22" s="32" t="s">
        <v>395</v>
      </c>
      <c r="G22" s="324"/>
      <c r="H22" s="141"/>
      <c r="I22" s="321"/>
      <c r="J22" s="197"/>
      <c r="N22" s="333"/>
      <c r="O22" s="85" t="s">
        <v>863</v>
      </c>
      <c r="P22" s="85" t="s">
        <v>863</v>
      </c>
      <c r="Q22" s="428"/>
      <c r="R22" s="333"/>
      <c r="S22" s="423"/>
    </row>
    <row r="23" spans="4:19" ht="18.75" customHeight="1" x14ac:dyDescent="0.25">
      <c r="D23" s="140" t="s">
        <v>397</v>
      </c>
      <c r="E23" s="32">
        <v>250</v>
      </c>
      <c r="F23" s="28"/>
      <c r="G23" s="324" t="s">
        <v>398</v>
      </c>
      <c r="H23" s="140" t="s">
        <v>391</v>
      </c>
      <c r="I23" s="320">
        <v>782863088</v>
      </c>
      <c r="J23" s="196"/>
      <c r="N23" s="332" t="s">
        <v>920</v>
      </c>
      <c r="O23" s="85">
        <v>250</v>
      </c>
      <c r="P23" s="85">
        <v>3000</v>
      </c>
      <c r="Q23" s="432" t="s">
        <v>921</v>
      </c>
      <c r="R23" s="332" t="s">
        <v>922</v>
      </c>
      <c r="S23" s="422" t="s">
        <v>923</v>
      </c>
    </row>
    <row r="24" spans="4:19" ht="15" customHeight="1" x14ac:dyDescent="0.25">
      <c r="D24" s="141"/>
      <c r="E24" s="32" t="s">
        <v>400</v>
      </c>
      <c r="F24" s="33"/>
      <c r="G24" s="324"/>
      <c r="H24" s="141"/>
      <c r="I24" s="321"/>
      <c r="J24" s="197"/>
      <c r="N24" s="333"/>
      <c r="O24" s="85" t="s">
        <v>926</v>
      </c>
      <c r="P24" s="85" t="s">
        <v>926</v>
      </c>
      <c r="Q24" s="433"/>
      <c r="R24" s="333"/>
      <c r="S24" s="423"/>
    </row>
    <row r="25" spans="4:19" ht="18.75" customHeight="1" x14ac:dyDescent="0.25">
      <c r="D25" s="140" t="s">
        <v>249</v>
      </c>
      <c r="E25" s="32">
        <v>250</v>
      </c>
      <c r="F25" s="28">
        <v>3000</v>
      </c>
      <c r="G25" s="324" t="s">
        <v>403</v>
      </c>
      <c r="H25" s="140" t="s">
        <v>402</v>
      </c>
      <c r="I25" s="320">
        <v>656294981</v>
      </c>
      <c r="J25" s="196"/>
      <c r="N25" s="429" t="s">
        <v>896</v>
      </c>
      <c r="O25" s="85">
        <v>250</v>
      </c>
      <c r="P25" s="85">
        <v>2000</v>
      </c>
      <c r="Q25" s="349" t="s">
        <v>388</v>
      </c>
      <c r="R25" s="332" t="s">
        <v>814</v>
      </c>
      <c r="S25" s="431" t="s">
        <v>927</v>
      </c>
    </row>
    <row r="26" spans="4:19" ht="15" customHeight="1" x14ac:dyDescent="0.25">
      <c r="D26" s="141"/>
      <c r="E26" s="32" t="s">
        <v>399</v>
      </c>
      <c r="F26" s="32" t="s">
        <v>399</v>
      </c>
      <c r="G26" s="324"/>
      <c r="H26" s="141"/>
      <c r="I26" s="321"/>
      <c r="J26" s="197"/>
      <c r="N26" s="430"/>
      <c r="O26" s="85" t="s">
        <v>910</v>
      </c>
      <c r="P26" s="85" t="s">
        <v>910</v>
      </c>
      <c r="Q26" s="428"/>
      <c r="R26" s="333"/>
      <c r="S26" s="423"/>
    </row>
    <row r="27" spans="4:19" ht="18.75" customHeight="1" x14ac:dyDescent="0.25">
      <c r="D27" s="140" t="s">
        <v>404</v>
      </c>
      <c r="E27" s="32">
        <v>250</v>
      </c>
      <c r="F27" s="28">
        <v>3000</v>
      </c>
      <c r="G27" s="324" t="s">
        <v>362</v>
      </c>
      <c r="H27" s="140" t="s">
        <v>406</v>
      </c>
      <c r="I27" s="320"/>
      <c r="J27" s="196"/>
      <c r="N27" s="332" t="s">
        <v>933</v>
      </c>
      <c r="O27" s="85">
        <v>250</v>
      </c>
      <c r="P27" s="85">
        <v>2000</v>
      </c>
      <c r="Q27" s="349" t="s">
        <v>934</v>
      </c>
      <c r="R27" s="332" t="s">
        <v>814</v>
      </c>
      <c r="S27" s="422" t="s">
        <v>935</v>
      </c>
    </row>
    <row r="28" spans="4:19" ht="15" customHeight="1" x14ac:dyDescent="0.25">
      <c r="D28" s="141"/>
      <c r="E28" s="32" t="s">
        <v>405</v>
      </c>
      <c r="F28" s="32" t="s">
        <v>405</v>
      </c>
      <c r="G28" s="324"/>
      <c r="H28" s="141"/>
      <c r="I28" s="321"/>
      <c r="J28" s="197"/>
      <c r="N28" s="333"/>
      <c r="O28" s="85" t="s">
        <v>929</v>
      </c>
      <c r="P28" s="85" t="s">
        <v>929</v>
      </c>
      <c r="Q28" s="428"/>
      <c r="R28" s="333"/>
      <c r="S28" s="423"/>
    </row>
    <row r="29" spans="4:19" ht="18.75" customHeight="1" x14ac:dyDescent="0.25">
      <c r="D29" s="348" t="s">
        <v>407</v>
      </c>
      <c r="E29" s="32">
        <v>250</v>
      </c>
      <c r="F29" s="28">
        <v>3000</v>
      </c>
      <c r="G29" s="324" t="s">
        <v>362</v>
      </c>
      <c r="H29" s="140" t="s">
        <v>406</v>
      </c>
      <c r="I29" s="320"/>
      <c r="J29" s="196"/>
      <c r="N29" s="332" t="s">
        <v>1112</v>
      </c>
      <c r="O29" s="85">
        <v>250</v>
      </c>
      <c r="P29" s="85">
        <v>2000</v>
      </c>
      <c r="Q29" s="349" t="s">
        <v>934</v>
      </c>
      <c r="R29" s="332" t="s">
        <v>814</v>
      </c>
      <c r="S29" s="422"/>
    </row>
    <row r="30" spans="4:19" ht="15" customHeight="1" x14ac:dyDescent="0.25">
      <c r="D30" s="348"/>
      <c r="E30" s="32" t="s">
        <v>408</v>
      </c>
      <c r="F30" s="32" t="s">
        <v>408</v>
      </c>
      <c r="G30" s="324"/>
      <c r="H30" s="141"/>
      <c r="I30" s="321"/>
      <c r="J30" s="197"/>
      <c r="N30" s="333"/>
      <c r="O30" s="85" t="s">
        <v>1113</v>
      </c>
      <c r="P30" s="85" t="s">
        <v>1113</v>
      </c>
      <c r="Q30" s="428"/>
      <c r="R30" s="333"/>
      <c r="S30" s="423"/>
    </row>
    <row r="31" spans="4:19" ht="18.75" customHeight="1" x14ac:dyDescent="0.25">
      <c r="D31" s="140" t="s">
        <v>409</v>
      </c>
      <c r="E31" s="32">
        <v>250</v>
      </c>
      <c r="F31" s="28">
        <v>3000</v>
      </c>
      <c r="G31" s="324" t="s">
        <v>362</v>
      </c>
      <c r="H31" s="140" t="s">
        <v>406</v>
      </c>
      <c r="I31" s="320"/>
      <c r="J31" s="196"/>
      <c r="N31" s="332" t="s">
        <v>1114</v>
      </c>
      <c r="O31" s="85"/>
      <c r="P31" s="85">
        <v>3000</v>
      </c>
      <c r="Q31" s="349" t="s">
        <v>362</v>
      </c>
      <c r="R31" s="332" t="s">
        <v>761</v>
      </c>
      <c r="S31" s="422"/>
    </row>
    <row r="32" spans="4:19" ht="15" customHeight="1" x14ac:dyDescent="0.25">
      <c r="D32" s="141"/>
      <c r="E32" s="32" t="s">
        <v>410</v>
      </c>
      <c r="F32" s="32" t="s">
        <v>410</v>
      </c>
      <c r="G32" s="324"/>
      <c r="H32" s="141"/>
      <c r="I32" s="321"/>
      <c r="J32" s="197"/>
      <c r="N32" s="333"/>
      <c r="O32" s="85"/>
      <c r="P32" s="85" t="s">
        <v>1115</v>
      </c>
      <c r="Q32" s="428"/>
      <c r="R32" s="333"/>
      <c r="S32" s="423"/>
    </row>
    <row r="33" spans="4:19" ht="18.75" customHeight="1" x14ac:dyDescent="0.25">
      <c r="D33" s="348" t="s">
        <v>411</v>
      </c>
      <c r="E33" s="32"/>
      <c r="F33" s="28">
        <v>3000</v>
      </c>
      <c r="G33" s="324" t="s">
        <v>362</v>
      </c>
      <c r="H33" s="140" t="s">
        <v>406</v>
      </c>
      <c r="I33" s="320"/>
      <c r="J33" s="196"/>
      <c r="N33" s="332" t="s">
        <v>1296</v>
      </c>
      <c r="O33" s="85">
        <v>250</v>
      </c>
      <c r="P33" s="85">
        <v>2000</v>
      </c>
      <c r="Q33" s="422" t="s">
        <v>1298</v>
      </c>
      <c r="R33" s="422" t="s">
        <v>814</v>
      </c>
      <c r="S33" s="422"/>
    </row>
    <row r="34" spans="4:19" ht="15" customHeight="1" x14ac:dyDescent="0.25">
      <c r="D34" s="348"/>
      <c r="E34" s="32"/>
      <c r="F34" s="32" t="s">
        <v>412</v>
      </c>
      <c r="G34" s="324"/>
      <c r="H34" s="141"/>
      <c r="I34" s="321"/>
      <c r="J34" s="197"/>
      <c r="N34" s="333"/>
      <c r="O34" s="85" t="s">
        <v>1316</v>
      </c>
      <c r="P34" s="85" t="s">
        <v>1316</v>
      </c>
      <c r="Q34" s="423"/>
      <c r="R34" s="423"/>
      <c r="S34" s="423"/>
    </row>
    <row r="35" spans="4:19" ht="18.75" customHeight="1" x14ac:dyDescent="0.25">
      <c r="D35" s="140" t="s">
        <v>413</v>
      </c>
      <c r="E35" s="32"/>
      <c r="F35" s="28">
        <v>1000</v>
      </c>
      <c r="G35" s="324" t="s">
        <v>388</v>
      </c>
      <c r="H35" s="140" t="s">
        <v>415</v>
      </c>
      <c r="I35" s="320"/>
      <c r="J35" s="196"/>
      <c r="N35" s="332" t="s">
        <v>1317</v>
      </c>
      <c r="O35" s="85">
        <v>250</v>
      </c>
      <c r="P35" s="85">
        <v>2000</v>
      </c>
      <c r="Q35" s="422" t="s">
        <v>1298</v>
      </c>
      <c r="R35" s="422" t="s">
        <v>1319</v>
      </c>
      <c r="S35" s="422"/>
    </row>
    <row r="36" spans="4:19" ht="15" customHeight="1" x14ac:dyDescent="0.25">
      <c r="D36" s="141"/>
      <c r="E36" s="32"/>
      <c r="F36" s="32" t="s">
        <v>414</v>
      </c>
      <c r="G36" s="324"/>
      <c r="H36" s="141"/>
      <c r="I36" s="321"/>
      <c r="J36" s="197"/>
      <c r="N36" s="333"/>
      <c r="O36" s="85" t="s">
        <v>1318</v>
      </c>
      <c r="P36" s="85" t="s">
        <v>1318</v>
      </c>
      <c r="Q36" s="423"/>
      <c r="R36" s="423"/>
      <c r="S36" s="423"/>
    </row>
    <row r="37" spans="4:19" ht="18.75" customHeight="1" x14ac:dyDescent="0.25">
      <c r="D37" s="348" t="s">
        <v>416</v>
      </c>
      <c r="E37" s="32">
        <v>250</v>
      </c>
      <c r="F37" s="28">
        <v>2000</v>
      </c>
      <c r="G37" s="324" t="s">
        <v>388</v>
      </c>
      <c r="H37" s="140" t="s">
        <v>415</v>
      </c>
      <c r="I37" s="320" t="s">
        <v>418</v>
      </c>
      <c r="J37" s="196"/>
      <c r="N37" s="426" t="s">
        <v>1320</v>
      </c>
      <c r="O37" s="85">
        <v>250</v>
      </c>
      <c r="P37" s="138"/>
      <c r="Q37" s="422" t="s">
        <v>1298</v>
      </c>
      <c r="R37" s="424" t="s">
        <v>814</v>
      </c>
      <c r="S37" s="422"/>
    </row>
    <row r="38" spans="4:19" ht="15" customHeight="1" x14ac:dyDescent="0.25">
      <c r="D38" s="348"/>
      <c r="E38" s="32" t="s">
        <v>417</v>
      </c>
      <c r="F38" s="32" t="s">
        <v>417</v>
      </c>
      <c r="G38" s="324"/>
      <c r="H38" s="141"/>
      <c r="I38" s="321"/>
      <c r="J38" s="197"/>
      <c r="N38" s="258"/>
      <c r="O38" s="85" t="s">
        <v>1316</v>
      </c>
      <c r="P38" s="139"/>
      <c r="Q38" s="423"/>
      <c r="R38" s="425"/>
      <c r="S38" s="423"/>
    </row>
    <row r="39" spans="4:19" ht="18.75" customHeight="1" x14ac:dyDescent="0.25">
      <c r="D39" s="140" t="s">
        <v>419</v>
      </c>
      <c r="E39" s="32">
        <v>250</v>
      </c>
      <c r="F39" s="28">
        <v>3000</v>
      </c>
      <c r="G39" s="324" t="s">
        <v>421</v>
      </c>
      <c r="H39" s="140" t="s">
        <v>422</v>
      </c>
      <c r="I39" s="320" t="s">
        <v>423</v>
      </c>
      <c r="J39" s="196"/>
      <c r="N39" s="257" t="s">
        <v>1321</v>
      </c>
      <c r="O39" s="85">
        <v>250</v>
      </c>
      <c r="P39" s="139"/>
      <c r="Q39" s="422" t="s">
        <v>563</v>
      </c>
      <c r="R39" s="424" t="s">
        <v>767</v>
      </c>
      <c r="S39" s="422"/>
    </row>
    <row r="40" spans="4:19" ht="15" customHeight="1" x14ac:dyDescent="0.25">
      <c r="D40" s="141"/>
      <c r="E40" s="32" t="s">
        <v>420</v>
      </c>
      <c r="F40" s="32" t="s">
        <v>420</v>
      </c>
      <c r="G40" s="324"/>
      <c r="H40" s="141"/>
      <c r="I40" s="321"/>
      <c r="J40" s="197"/>
      <c r="N40" s="258"/>
      <c r="O40" s="85" t="s">
        <v>1322</v>
      </c>
      <c r="P40" s="139"/>
      <c r="Q40" s="423"/>
      <c r="R40" s="425"/>
      <c r="S40" s="423"/>
    </row>
    <row r="41" spans="4:19" ht="18.75" customHeight="1" x14ac:dyDescent="0.25">
      <c r="D41" s="348" t="s">
        <v>424</v>
      </c>
      <c r="E41" s="32">
        <v>250</v>
      </c>
      <c r="F41" s="28">
        <v>2000</v>
      </c>
      <c r="G41" s="324" t="s">
        <v>388</v>
      </c>
      <c r="H41" s="140" t="s">
        <v>415</v>
      </c>
      <c r="I41" s="320"/>
      <c r="J41" s="196"/>
      <c r="N41" s="257"/>
      <c r="O41" s="85"/>
      <c r="P41" s="139"/>
      <c r="Q41" s="422"/>
      <c r="R41" s="424"/>
      <c r="S41" s="422"/>
    </row>
    <row r="42" spans="4:19" ht="15" customHeight="1" x14ac:dyDescent="0.25">
      <c r="D42" s="348"/>
      <c r="E42" s="32" t="s">
        <v>425</v>
      </c>
      <c r="F42" s="32" t="s">
        <v>425</v>
      </c>
      <c r="G42" s="324"/>
      <c r="H42" s="141"/>
      <c r="I42" s="321"/>
      <c r="J42" s="197"/>
      <c r="N42" s="258"/>
      <c r="O42" s="85"/>
      <c r="P42" s="139"/>
      <c r="Q42" s="423"/>
      <c r="R42" s="425"/>
      <c r="S42" s="423"/>
    </row>
    <row r="43" spans="4:19" ht="18.75" customHeight="1" x14ac:dyDescent="0.25">
      <c r="D43" s="348" t="s">
        <v>426</v>
      </c>
      <c r="E43" s="32">
        <v>250</v>
      </c>
      <c r="F43" s="28">
        <v>3000</v>
      </c>
      <c r="G43" s="324" t="s">
        <v>362</v>
      </c>
      <c r="H43" s="140" t="s">
        <v>428</v>
      </c>
      <c r="I43" s="320"/>
      <c r="J43" s="196"/>
      <c r="N43" s="257"/>
      <c r="O43" s="85"/>
      <c r="P43" s="139"/>
      <c r="Q43" s="422"/>
      <c r="R43" s="424"/>
      <c r="S43" s="422"/>
    </row>
    <row r="44" spans="4:19" ht="15" customHeight="1" x14ac:dyDescent="0.25">
      <c r="D44" s="348"/>
      <c r="E44" s="32" t="s">
        <v>427</v>
      </c>
      <c r="F44" s="32" t="s">
        <v>427</v>
      </c>
      <c r="G44" s="324"/>
      <c r="H44" s="141"/>
      <c r="I44" s="321"/>
      <c r="J44" s="197"/>
      <c r="N44" s="258"/>
      <c r="O44" s="85"/>
      <c r="P44" s="139"/>
      <c r="Q44" s="423"/>
      <c r="R44" s="425"/>
      <c r="S44" s="423"/>
    </row>
    <row r="45" spans="4:19" ht="18.75" customHeight="1" x14ac:dyDescent="0.25">
      <c r="D45" s="140" t="s">
        <v>429</v>
      </c>
      <c r="E45" s="32">
        <v>250</v>
      </c>
      <c r="F45" s="28">
        <v>2000</v>
      </c>
      <c r="G45" s="324" t="s">
        <v>388</v>
      </c>
      <c r="H45" s="140" t="s">
        <v>415</v>
      </c>
      <c r="I45" s="320"/>
      <c r="J45" s="196"/>
    </row>
    <row r="46" spans="4:19" ht="15" customHeight="1" x14ac:dyDescent="0.25">
      <c r="D46" s="141"/>
      <c r="E46" s="32" t="s">
        <v>430</v>
      </c>
      <c r="F46" s="32" t="s">
        <v>430</v>
      </c>
      <c r="G46" s="324"/>
      <c r="H46" s="141"/>
      <c r="I46" s="321"/>
      <c r="J46" s="197"/>
    </row>
    <row r="47" spans="4:19" ht="18.75" customHeight="1" x14ac:dyDescent="0.25">
      <c r="D47" s="348" t="s">
        <v>431</v>
      </c>
      <c r="E47" s="32">
        <v>250</v>
      </c>
      <c r="F47" s="28"/>
      <c r="G47" s="324" t="s">
        <v>388</v>
      </c>
      <c r="H47" s="140" t="s">
        <v>415</v>
      </c>
      <c r="I47" s="320"/>
      <c r="J47" s="196"/>
    </row>
    <row r="48" spans="4:19" ht="15" customHeight="1" x14ac:dyDescent="0.25">
      <c r="D48" s="348"/>
      <c r="E48" s="32" t="s">
        <v>432</v>
      </c>
      <c r="F48" s="33"/>
      <c r="G48" s="324"/>
      <c r="H48" s="141"/>
      <c r="I48" s="321"/>
      <c r="J48" s="197"/>
    </row>
    <row r="49" spans="4:10" ht="18.75" customHeight="1" x14ac:dyDescent="0.25">
      <c r="D49" s="140" t="s">
        <v>433</v>
      </c>
      <c r="E49" s="32">
        <v>250</v>
      </c>
      <c r="F49" s="28">
        <v>3000</v>
      </c>
      <c r="G49" s="324" t="s">
        <v>362</v>
      </c>
      <c r="H49" s="140" t="s">
        <v>422</v>
      </c>
      <c r="I49" s="320"/>
      <c r="J49" s="196"/>
    </row>
    <row r="50" spans="4:10" ht="15" customHeight="1" x14ac:dyDescent="0.25">
      <c r="D50" s="141"/>
      <c r="E50" s="32" t="s">
        <v>434</v>
      </c>
      <c r="F50" s="32" t="s">
        <v>434</v>
      </c>
      <c r="G50" s="324"/>
      <c r="H50" s="141"/>
      <c r="I50" s="321"/>
      <c r="J50" s="197"/>
    </row>
    <row r="51" spans="4:10" ht="18.75" customHeight="1" x14ac:dyDescent="0.25">
      <c r="D51" s="140" t="s">
        <v>433</v>
      </c>
      <c r="E51" s="32">
        <v>250</v>
      </c>
      <c r="F51" s="28">
        <v>2500</v>
      </c>
      <c r="G51" s="324" t="s">
        <v>362</v>
      </c>
      <c r="H51" s="140" t="s">
        <v>389</v>
      </c>
      <c r="I51" s="320"/>
      <c r="J51" s="196"/>
    </row>
    <row r="52" spans="4:10" ht="15" customHeight="1" x14ac:dyDescent="0.25">
      <c r="D52" s="141"/>
      <c r="E52" s="32" t="s">
        <v>436</v>
      </c>
      <c r="F52" s="32" t="s">
        <v>436</v>
      </c>
      <c r="G52" s="324"/>
      <c r="H52" s="141"/>
      <c r="I52" s="321"/>
      <c r="J52" s="197"/>
    </row>
    <row r="53" spans="4:10" ht="18.75" customHeight="1" x14ac:dyDescent="0.25">
      <c r="D53" s="140" t="s">
        <v>435</v>
      </c>
      <c r="E53" s="32">
        <v>250</v>
      </c>
      <c r="F53" s="28"/>
      <c r="G53" s="324" t="s">
        <v>362</v>
      </c>
      <c r="H53" s="140" t="s">
        <v>406</v>
      </c>
      <c r="I53" s="320"/>
      <c r="J53" s="196"/>
    </row>
    <row r="54" spans="4:10" ht="15" customHeight="1" x14ac:dyDescent="0.25">
      <c r="D54" s="141"/>
      <c r="E54" s="32" t="s">
        <v>437</v>
      </c>
      <c r="F54" s="33"/>
      <c r="G54" s="324"/>
      <c r="H54" s="141"/>
      <c r="I54" s="321"/>
      <c r="J54" s="197"/>
    </row>
    <row r="55" spans="4:10" ht="18.75" customHeight="1" x14ac:dyDescent="0.25">
      <c r="D55" s="348" t="s">
        <v>438</v>
      </c>
      <c r="E55" s="32">
        <v>250</v>
      </c>
      <c r="F55" s="28">
        <v>3000</v>
      </c>
      <c r="G55" s="324" t="s">
        <v>362</v>
      </c>
      <c r="H55" s="140" t="s">
        <v>422</v>
      </c>
      <c r="I55" s="320"/>
      <c r="J55" s="196"/>
    </row>
    <row r="56" spans="4:10" ht="15" customHeight="1" x14ac:dyDescent="0.25">
      <c r="D56" s="348"/>
      <c r="E56" s="32" t="s">
        <v>439</v>
      </c>
      <c r="F56" s="32" t="s">
        <v>439</v>
      </c>
      <c r="G56" s="324"/>
      <c r="H56" s="141"/>
      <c r="I56" s="321"/>
      <c r="J56" s="197"/>
    </row>
    <row r="57" spans="4:10" ht="18.75" customHeight="1" x14ac:dyDescent="0.25">
      <c r="D57" s="140" t="s">
        <v>516</v>
      </c>
      <c r="E57" s="32">
        <v>250</v>
      </c>
      <c r="F57" s="28"/>
      <c r="G57" s="324" t="s">
        <v>398</v>
      </c>
      <c r="H57" s="140" t="s">
        <v>415</v>
      </c>
      <c r="I57" s="320"/>
      <c r="J57" s="196"/>
    </row>
    <row r="58" spans="4:10" ht="15" customHeight="1" x14ac:dyDescent="0.25">
      <c r="D58" s="141"/>
      <c r="E58" s="32" t="s">
        <v>517</v>
      </c>
      <c r="F58" s="33"/>
      <c r="G58" s="324"/>
      <c r="H58" s="141"/>
      <c r="I58" s="321"/>
      <c r="J58" s="197"/>
    </row>
    <row r="59" spans="4:10" ht="18.75" customHeight="1" x14ac:dyDescent="0.25">
      <c r="D59" s="348" t="s">
        <v>518</v>
      </c>
      <c r="E59" s="32">
        <v>250</v>
      </c>
      <c r="F59" s="28">
        <v>3000</v>
      </c>
      <c r="G59" s="324" t="s">
        <v>362</v>
      </c>
      <c r="H59" s="140" t="s">
        <v>422</v>
      </c>
      <c r="I59" s="320"/>
      <c r="J59" s="196"/>
    </row>
    <row r="60" spans="4:10" ht="15" customHeight="1" x14ac:dyDescent="0.25">
      <c r="D60" s="348"/>
      <c r="E60" s="32" t="s">
        <v>519</v>
      </c>
      <c r="F60" s="32" t="s">
        <v>519</v>
      </c>
      <c r="G60" s="324"/>
      <c r="H60" s="141"/>
      <c r="I60" s="321"/>
      <c r="J60" s="197"/>
    </row>
    <row r="61" spans="4:10" ht="18.75" customHeight="1" x14ac:dyDescent="0.25">
      <c r="D61" s="140" t="s">
        <v>520</v>
      </c>
      <c r="E61" s="32">
        <v>250</v>
      </c>
      <c r="F61" s="28"/>
      <c r="G61" s="324" t="s">
        <v>362</v>
      </c>
      <c r="H61" s="140" t="s">
        <v>522</v>
      </c>
      <c r="I61" s="320"/>
      <c r="J61" s="196"/>
    </row>
    <row r="62" spans="4:10" ht="15" customHeight="1" x14ac:dyDescent="0.25">
      <c r="D62" s="141"/>
      <c r="E62" s="32" t="s">
        <v>521</v>
      </c>
      <c r="F62" s="33"/>
      <c r="G62" s="324"/>
      <c r="H62" s="141"/>
      <c r="I62" s="321"/>
      <c r="J62" s="197"/>
    </row>
    <row r="63" spans="4:10" ht="15" customHeight="1" x14ac:dyDescent="0.25">
      <c r="D63" s="348" t="s">
        <v>523</v>
      </c>
      <c r="E63" s="32"/>
      <c r="F63" s="32">
        <v>3000</v>
      </c>
      <c r="G63" s="324" t="s">
        <v>362</v>
      </c>
      <c r="H63" s="140" t="s">
        <v>406</v>
      </c>
      <c r="I63" s="320" t="s">
        <v>525</v>
      </c>
      <c r="J63" s="196"/>
    </row>
    <row r="64" spans="4:10" ht="15" customHeight="1" x14ac:dyDescent="0.25">
      <c r="D64" s="348"/>
      <c r="E64" s="32"/>
      <c r="F64" s="32" t="s">
        <v>524</v>
      </c>
      <c r="G64" s="324"/>
      <c r="H64" s="141"/>
      <c r="I64" s="321"/>
      <c r="J64" s="197"/>
    </row>
    <row r="65" spans="4:10" ht="18.75" customHeight="1" x14ac:dyDescent="0.25">
      <c r="D65" s="140" t="s">
        <v>526</v>
      </c>
      <c r="E65" s="32">
        <v>250</v>
      </c>
      <c r="F65" s="28">
        <v>3000</v>
      </c>
      <c r="G65" s="324" t="s">
        <v>362</v>
      </c>
      <c r="H65" s="140" t="s">
        <v>522</v>
      </c>
      <c r="I65" s="320"/>
      <c r="J65" s="196"/>
    </row>
    <row r="66" spans="4:10" ht="15" customHeight="1" x14ac:dyDescent="0.25">
      <c r="D66" s="141"/>
      <c r="E66" s="32" t="s">
        <v>527</v>
      </c>
      <c r="F66" s="32" t="s">
        <v>527</v>
      </c>
      <c r="G66" s="324"/>
      <c r="H66" s="141"/>
      <c r="I66" s="321"/>
      <c r="J66" s="197"/>
    </row>
    <row r="67" spans="4:10" ht="18.75" customHeight="1" x14ac:dyDescent="0.25">
      <c r="D67" s="140" t="s">
        <v>526</v>
      </c>
      <c r="E67" s="32">
        <v>250</v>
      </c>
      <c r="F67" s="28">
        <v>2500</v>
      </c>
      <c r="G67" s="324" t="s">
        <v>362</v>
      </c>
      <c r="H67" s="140" t="s">
        <v>389</v>
      </c>
      <c r="I67" s="320"/>
      <c r="J67" s="196"/>
    </row>
    <row r="68" spans="4:10" ht="15" customHeight="1" x14ac:dyDescent="0.25">
      <c r="D68" s="141"/>
      <c r="E68" s="32" t="s">
        <v>527</v>
      </c>
      <c r="F68" s="32" t="s">
        <v>527</v>
      </c>
      <c r="G68" s="324"/>
      <c r="H68" s="141"/>
      <c r="I68" s="321"/>
      <c r="J68" s="197"/>
    </row>
    <row r="69" spans="4:10" ht="18.75" customHeight="1" x14ac:dyDescent="0.25">
      <c r="D69" s="140" t="s">
        <v>526</v>
      </c>
      <c r="E69" s="32">
        <v>250</v>
      </c>
      <c r="F69" s="28">
        <v>2500</v>
      </c>
      <c r="G69" s="324" t="s">
        <v>362</v>
      </c>
      <c r="H69" s="140" t="s">
        <v>528</v>
      </c>
      <c r="I69" s="320"/>
      <c r="J69" s="196"/>
    </row>
    <row r="70" spans="4:10" ht="15" customHeight="1" x14ac:dyDescent="0.25">
      <c r="D70" s="141"/>
      <c r="E70" s="32" t="s">
        <v>527</v>
      </c>
      <c r="F70" s="32" t="s">
        <v>527</v>
      </c>
      <c r="G70" s="324"/>
      <c r="H70" s="141"/>
      <c r="I70" s="321"/>
      <c r="J70" s="197"/>
    </row>
    <row r="71" spans="4:10" ht="15" customHeight="1" x14ac:dyDescent="0.25">
      <c r="D71" s="437" t="s">
        <v>569</v>
      </c>
      <c r="E71" s="436">
        <v>6750</v>
      </c>
      <c r="F71" s="436">
        <v>61000</v>
      </c>
      <c r="G71" s="436">
        <v>67750</v>
      </c>
    </row>
    <row r="72" spans="4:10" ht="15" customHeight="1" x14ac:dyDescent="0.25">
      <c r="D72" s="437"/>
      <c r="E72" s="436"/>
      <c r="F72" s="436"/>
      <c r="G72" s="436"/>
    </row>
  </sheetData>
  <mergeCells count="228">
    <mergeCell ref="E71:E72"/>
    <mergeCell ref="F71:F72"/>
    <mergeCell ref="D69:D70"/>
    <mergeCell ref="G69:G70"/>
    <mergeCell ref="H69:H70"/>
    <mergeCell ref="I69:I70"/>
    <mergeCell ref="J69:J70"/>
    <mergeCell ref="D71:D72"/>
    <mergeCell ref="G71:G72"/>
    <mergeCell ref="J11:J12"/>
    <mergeCell ref="D13:D14"/>
    <mergeCell ref="G13:G14"/>
    <mergeCell ref="H13:H14"/>
    <mergeCell ref="I13:I14"/>
    <mergeCell ref="J13:J14"/>
    <mergeCell ref="D8:I9"/>
    <mergeCell ref="D11:D12"/>
    <mergeCell ref="G11:G12"/>
    <mergeCell ref="H11:H12"/>
    <mergeCell ref="I11:I12"/>
    <mergeCell ref="D15:D16"/>
    <mergeCell ref="G15:G16"/>
    <mergeCell ref="H15:H16"/>
    <mergeCell ref="I15:I16"/>
    <mergeCell ref="J15:J16"/>
    <mergeCell ref="D17:D18"/>
    <mergeCell ref="G17:G18"/>
    <mergeCell ref="H17:H18"/>
    <mergeCell ref="I17:I18"/>
    <mergeCell ref="J17:J18"/>
    <mergeCell ref="D19:D20"/>
    <mergeCell ref="G19:G20"/>
    <mergeCell ref="H19:H20"/>
    <mergeCell ref="I19:I20"/>
    <mergeCell ref="J19:J20"/>
    <mergeCell ref="D21:D22"/>
    <mergeCell ref="G21:G22"/>
    <mergeCell ref="H21:H22"/>
    <mergeCell ref="I21:I22"/>
    <mergeCell ref="J21:J22"/>
    <mergeCell ref="D23:D24"/>
    <mergeCell ref="G23:G24"/>
    <mergeCell ref="H23:H24"/>
    <mergeCell ref="I23:I24"/>
    <mergeCell ref="J23:J24"/>
    <mergeCell ref="D25:D26"/>
    <mergeCell ref="G25:G26"/>
    <mergeCell ref="H25:H26"/>
    <mergeCell ref="I25:I26"/>
    <mergeCell ref="J25:J26"/>
    <mergeCell ref="J31:J32"/>
    <mergeCell ref="D27:D28"/>
    <mergeCell ref="G27:G28"/>
    <mergeCell ref="H27:H28"/>
    <mergeCell ref="I27:I28"/>
    <mergeCell ref="J27:J28"/>
    <mergeCell ref="D29:D30"/>
    <mergeCell ref="G29:G30"/>
    <mergeCell ref="H29:H30"/>
    <mergeCell ref="I29:I30"/>
    <mergeCell ref="J29:J30"/>
    <mergeCell ref="D31:D32"/>
    <mergeCell ref="G31:G32"/>
    <mergeCell ref="H31:H32"/>
    <mergeCell ref="I31:I32"/>
    <mergeCell ref="D33:D34"/>
    <mergeCell ref="G33:G34"/>
    <mergeCell ref="H33:H34"/>
    <mergeCell ref="I33:I34"/>
    <mergeCell ref="J33:J34"/>
    <mergeCell ref="D39:D40"/>
    <mergeCell ref="G39:G40"/>
    <mergeCell ref="H39:H40"/>
    <mergeCell ref="I39:I40"/>
    <mergeCell ref="J39:J40"/>
    <mergeCell ref="D35:D36"/>
    <mergeCell ref="G35:G36"/>
    <mergeCell ref="H35:H36"/>
    <mergeCell ref="I35:I36"/>
    <mergeCell ref="J35:J36"/>
    <mergeCell ref="D37:D38"/>
    <mergeCell ref="G37:G38"/>
    <mergeCell ref="H37:H38"/>
    <mergeCell ref="I37:I38"/>
    <mergeCell ref="J37:J38"/>
    <mergeCell ref="D41:D42"/>
    <mergeCell ref="G41:G42"/>
    <mergeCell ref="H41:H42"/>
    <mergeCell ref="I41:I42"/>
    <mergeCell ref="J41:J42"/>
    <mergeCell ref="D45:D46"/>
    <mergeCell ref="G45:G46"/>
    <mergeCell ref="H45:H46"/>
    <mergeCell ref="I45:I46"/>
    <mergeCell ref="J45:J46"/>
    <mergeCell ref="D43:D44"/>
    <mergeCell ref="G43:G44"/>
    <mergeCell ref="H43:H44"/>
    <mergeCell ref="I43:I44"/>
    <mergeCell ref="J43:J44"/>
    <mergeCell ref="D49:D50"/>
    <mergeCell ref="G49:G50"/>
    <mergeCell ref="H49:H50"/>
    <mergeCell ref="I49:I50"/>
    <mergeCell ref="J49:J50"/>
    <mergeCell ref="D47:D48"/>
    <mergeCell ref="G47:G48"/>
    <mergeCell ref="H47:H48"/>
    <mergeCell ref="I47:I48"/>
    <mergeCell ref="J47:J48"/>
    <mergeCell ref="D53:D54"/>
    <mergeCell ref="G53:G54"/>
    <mergeCell ref="H53:H54"/>
    <mergeCell ref="I53:I54"/>
    <mergeCell ref="J53:J54"/>
    <mergeCell ref="D51:D52"/>
    <mergeCell ref="G51:G52"/>
    <mergeCell ref="H51:H52"/>
    <mergeCell ref="I51:I52"/>
    <mergeCell ref="J51:J52"/>
    <mergeCell ref="H59:H60"/>
    <mergeCell ref="I59:I60"/>
    <mergeCell ref="J59:J60"/>
    <mergeCell ref="D57:D58"/>
    <mergeCell ref="G57:G58"/>
    <mergeCell ref="H57:H58"/>
    <mergeCell ref="I57:I58"/>
    <mergeCell ref="J57:J58"/>
    <mergeCell ref="D55:D56"/>
    <mergeCell ref="G55:G56"/>
    <mergeCell ref="H55:H56"/>
    <mergeCell ref="I55:I56"/>
    <mergeCell ref="J55:J56"/>
    <mergeCell ref="Q19:Q20"/>
    <mergeCell ref="Q15:Q16"/>
    <mergeCell ref="D67:D68"/>
    <mergeCell ref="G67:G68"/>
    <mergeCell ref="H67:H68"/>
    <mergeCell ref="I67:I68"/>
    <mergeCell ref="J67:J68"/>
    <mergeCell ref="D65:D66"/>
    <mergeCell ref="G65:G66"/>
    <mergeCell ref="H65:H66"/>
    <mergeCell ref="I65:I66"/>
    <mergeCell ref="J65:J66"/>
    <mergeCell ref="D63:D64"/>
    <mergeCell ref="G63:G64"/>
    <mergeCell ref="H63:H64"/>
    <mergeCell ref="I63:I64"/>
    <mergeCell ref="J63:J64"/>
    <mergeCell ref="D61:D62"/>
    <mergeCell ref="G61:G62"/>
    <mergeCell ref="H61:H62"/>
    <mergeCell ref="I61:I62"/>
    <mergeCell ref="J61:J62"/>
    <mergeCell ref="D59:D60"/>
    <mergeCell ref="G59:G60"/>
    <mergeCell ref="Q21:Q22"/>
    <mergeCell ref="Q23:Q24"/>
    <mergeCell ref="Q37:Q38"/>
    <mergeCell ref="N9:N10"/>
    <mergeCell ref="Q9:Q10"/>
    <mergeCell ref="R9:R10"/>
    <mergeCell ref="S9:S10"/>
    <mergeCell ref="N11:N12"/>
    <mergeCell ref="R11:R12"/>
    <mergeCell ref="S11:S12"/>
    <mergeCell ref="N13:N14"/>
    <mergeCell ref="R13:R14"/>
    <mergeCell ref="S13:S14"/>
    <mergeCell ref="Q11:Q12"/>
    <mergeCell ref="Q13:Q14"/>
    <mergeCell ref="N15:N16"/>
    <mergeCell ref="R15:R16"/>
    <mergeCell ref="S15:S16"/>
    <mergeCell ref="N17:N18"/>
    <mergeCell ref="R17:R18"/>
    <mergeCell ref="S17:S18"/>
    <mergeCell ref="N19:N20"/>
    <mergeCell ref="R19:R20"/>
    <mergeCell ref="S19:S20"/>
    <mergeCell ref="N5:S7"/>
    <mergeCell ref="N27:N28"/>
    <mergeCell ref="R27:R28"/>
    <mergeCell ref="S27:S28"/>
    <mergeCell ref="N29:N30"/>
    <mergeCell ref="R29:R30"/>
    <mergeCell ref="S29:S30"/>
    <mergeCell ref="N31:N32"/>
    <mergeCell ref="R31:R32"/>
    <mergeCell ref="S31:S32"/>
    <mergeCell ref="Q31:Q32"/>
    <mergeCell ref="Q27:Q28"/>
    <mergeCell ref="Q29:Q30"/>
    <mergeCell ref="Q17:Q18"/>
    <mergeCell ref="N21:N22"/>
    <mergeCell ref="R21:R22"/>
    <mergeCell ref="S21:S22"/>
    <mergeCell ref="N23:N24"/>
    <mergeCell ref="R23:R24"/>
    <mergeCell ref="S23:S24"/>
    <mergeCell ref="N25:N26"/>
    <mergeCell ref="R25:R26"/>
    <mergeCell ref="S25:S26"/>
    <mergeCell ref="Q25:Q26"/>
    <mergeCell ref="N33:N34"/>
    <mergeCell ref="N35:N36"/>
    <mergeCell ref="S33:S34"/>
    <mergeCell ref="S35:S36"/>
    <mergeCell ref="Q33:Q34"/>
    <mergeCell ref="R33:R34"/>
    <mergeCell ref="Q35:Q36"/>
    <mergeCell ref="R35:R36"/>
    <mergeCell ref="S37:S38"/>
    <mergeCell ref="R37:R38"/>
    <mergeCell ref="N37:N38"/>
    <mergeCell ref="S39:S40"/>
    <mergeCell ref="S41:S42"/>
    <mergeCell ref="S43:S44"/>
    <mergeCell ref="N39:N40"/>
    <mergeCell ref="N41:N42"/>
    <mergeCell ref="N43:N44"/>
    <mergeCell ref="Q39:Q40"/>
    <mergeCell ref="Q41:Q42"/>
    <mergeCell ref="Q43:Q44"/>
    <mergeCell ref="R39:R40"/>
    <mergeCell ref="R41:R42"/>
    <mergeCell ref="R43:R44"/>
  </mergeCells>
  <phoneticPr fontId="6" type="noConversion"/>
  <pageMargins left="0.7" right="0.7" top="0.75" bottom="0.75" header="0.3" footer="0.3"/>
  <pageSetup paperSize="9" orientation="portrait" horizontalDpi="4294967293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0EDE7-1CB7-45FB-B12A-D3A81F64B0E3}">
  <dimension ref="B3:J37"/>
  <sheetViews>
    <sheetView rightToLeft="1" zoomScale="90" zoomScaleNormal="90" workbookViewId="0">
      <selection activeCell="F22" sqref="F22:F23"/>
    </sheetView>
  </sheetViews>
  <sheetFormatPr defaultColWidth="11.42578125" defaultRowHeight="15" x14ac:dyDescent="0.25"/>
  <cols>
    <col min="2" max="2" width="16.5703125" bestFit="1" customWidth="1"/>
    <col min="3" max="4" width="15.7109375" customWidth="1"/>
    <col min="5" max="5" width="15.28515625" customWidth="1"/>
    <col min="6" max="6" width="66.28515625" bestFit="1" customWidth="1"/>
  </cols>
  <sheetData>
    <row r="3" spans="2:10" ht="26.25" x14ac:dyDescent="0.4">
      <c r="B3" s="44" t="s">
        <v>382</v>
      </c>
      <c r="C3" s="45" t="s">
        <v>383</v>
      </c>
      <c r="D3" s="64" t="s">
        <v>670</v>
      </c>
      <c r="E3" s="45" t="s">
        <v>384</v>
      </c>
      <c r="F3" s="45" t="s">
        <v>385</v>
      </c>
    </row>
    <row r="4" spans="2:10" ht="18.75" x14ac:dyDescent="0.25">
      <c r="B4" s="438">
        <v>46279</v>
      </c>
      <c r="C4" s="444">
        <v>48050</v>
      </c>
      <c r="D4" s="59"/>
      <c r="E4" s="444">
        <v>4750</v>
      </c>
      <c r="F4" s="346" t="s">
        <v>386</v>
      </c>
    </row>
    <row r="5" spans="2:10" ht="18.75" x14ac:dyDescent="0.25">
      <c r="B5" s="439"/>
      <c r="C5" s="445"/>
      <c r="D5" s="60"/>
      <c r="E5" s="445"/>
      <c r="F5" s="347"/>
    </row>
    <row r="6" spans="2:10" ht="18.75" x14ac:dyDescent="0.25">
      <c r="B6" s="438">
        <v>46280</v>
      </c>
      <c r="C6" s="444">
        <v>50200</v>
      </c>
      <c r="D6" s="59"/>
      <c r="E6" s="444">
        <v>6500</v>
      </c>
      <c r="F6" s="346" t="s">
        <v>508</v>
      </c>
    </row>
    <row r="7" spans="2:10" ht="18.75" x14ac:dyDescent="0.25">
      <c r="B7" s="439"/>
      <c r="C7" s="445"/>
      <c r="D7" s="60"/>
      <c r="E7" s="445"/>
      <c r="F7" s="347"/>
    </row>
    <row r="8" spans="2:10" ht="18.75" x14ac:dyDescent="0.25">
      <c r="B8" s="438">
        <v>46281</v>
      </c>
      <c r="C8" s="444">
        <v>28900</v>
      </c>
      <c r="D8" s="59"/>
      <c r="E8" s="150">
        <v>1500</v>
      </c>
      <c r="F8" s="446" t="s">
        <v>570</v>
      </c>
    </row>
    <row r="9" spans="2:10" ht="18.75" x14ac:dyDescent="0.25">
      <c r="B9" s="439"/>
      <c r="C9" s="445"/>
      <c r="D9" s="60"/>
      <c r="E9" s="151"/>
      <c r="F9" s="447"/>
    </row>
    <row r="10" spans="2:10" x14ac:dyDescent="0.25">
      <c r="B10" s="438">
        <v>46282</v>
      </c>
      <c r="C10" s="150">
        <v>8500</v>
      </c>
      <c r="D10" s="12"/>
      <c r="E10" s="150">
        <v>1000</v>
      </c>
      <c r="F10" s="440" t="s">
        <v>572</v>
      </c>
    </row>
    <row r="11" spans="2:10" x14ac:dyDescent="0.25">
      <c r="B11" s="439"/>
      <c r="C11" s="151"/>
      <c r="D11" s="13"/>
      <c r="E11" s="151"/>
      <c r="F11" s="441"/>
    </row>
    <row r="12" spans="2:10" x14ac:dyDescent="0.25">
      <c r="B12" s="438">
        <v>46283</v>
      </c>
      <c r="C12" s="150"/>
      <c r="D12" s="12"/>
      <c r="E12" s="150"/>
      <c r="F12" s="440"/>
    </row>
    <row r="13" spans="2:10" x14ac:dyDescent="0.25">
      <c r="B13" s="439"/>
      <c r="C13" s="151"/>
      <c r="D13" s="13"/>
      <c r="E13" s="151"/>
      <c r="F13" s="441"/>
    </row>
    <row r="14" spans="2:10" ht="15" customHeight="1" x14ac:dyDescent="0.25">
      <c r="B14" s="438">
        <v>46284</v>
      </c>
      <c r="C14" s="150"/>
      <c r="D14" s="12"/>
      <c r="E14" s="150"/>
      <c r="F14" s="440"/>
    </row>
    <row r="15" spans="2:10" ht="15" customHeight="1" x14ac:dyDescent="0.25">
      <c r="B15" s="439"/>
      <c r="C15" s="151"/>
      <c r="D15" s="13"/>
      <c r="E15" s="151"/>
      <c r="F15" s="441"/>
      <c r="J15" t="s">
        <v>602</v>
      </c>
    </row>
    <row r="16" spans="2:10" ht="21" customHeight="1" x14ac:dyDescent="0.25">
      <c r="B16" s="438">
        <v>46285</v>
      </c>
      <c r="C16" s="442">
        <v>11400</v>
      </c>
      <c r="D16" s="442">
        <v>7650</v>
      </c>
      <c r="E16" s="442">
        <v>500</v>
      </c>
      <c r="F16" s="442" t="s">
        <v>652</v>
      </c>
    </row>
    <row r="17" spans="2:6" ht="21" customHeight="1" x14ac:dyDescent="0.25">
      <c r="B17" s="439"/>
      <c r="C17" s="443"/>
      <c r="D17" s="443"/>
      <c r="E17" s="443"/>
      <c r="F17" s="443"/>
    </row>
    <row r="18" spans="2:6" x14ac:dyDescent="0.25">
      <c r="B18" s="438">
        <v>46286</v>
      </c>
      <c r="C18" s="150"/>
      <c r="D18" s="12"/>
      <c r="E18" s="150"/>
      <c r="F18" s="440"/>
    </row>
    <row r="19" spans="2:6" x14ac:dyDescent="0.25">
      <c r="B19" s="439"/>
      <c r="C19" s="151"/>
      <c r="D19" s="13"/>
      <c r="E19" s="151"/>
      <c r="F19" s="441"/>
    </row>
    <row r="20" spans="2:6" x14ac:dyDescent="0.25">
      <c r="B20" s="438">
        <v>46287</v>
      </c>
      <c r="C20" s="150"/>
      <c r="D20" s="12"/>
      <c r="E20" s="150"/>
      <c r="F20" s="440"/>
    </row>
    <row r="21" spans="2:6" x14ac:dyDescent="0.25">
      <c r="B21" s="439"/>
      <c r="C21" s="151"/>
      <c r="D21" s="13"/>
      <c r="E21" s="151"/>
      <c r="F21" s="441"/>
    </row>
    <row r="22" spans="2:6" x14ac:dyDescent="0.25">
      <c r="B22" s="438">
        <v>46288</v>
      </c>
      <c r="C22" s="150">
        <v>7000</v>
      </c>
      <c r="D22" s="12">
        <v>6000</v>
      </c>
      <c r="E22" s="150">
        <v>1000</v>
      </c>
      <c r="F22" s="440"/>
    </row>
    <row r="23" spans="2:6" x14ac:dyDescent="0.25">
      <c r="B23" s="439"/>
      <c r="C23" s="151"/>
      <c r="D23" s="13"/>
      <c r="E23" s="151"/>
      <c r="F23" s="441"/>
    </row>
    <row r="24" spans="2:6" x14ac:dyDescent="0.25">
      <c r="B24" s="438">
        <v>46289</v>
      </c>
      <c r="C24" s="150"/>
      <c r="D24" s="12"/>
      <c r="E24" s="150"/>
      <c r="F24" s="440"/>
    </row>
    <row r="25" spans="2:6" x14ac:dyDescent="0.25">
      <c r="B25" s="439"/>
      <c r="C25" s="151"/>
      <c r="D25" s="13"/>
      <c r="E25" s="151"/>
      <c r="F25" s="441"/>
    </row>
    <row r="26" spans="2:6" x14ac:dyDescent="0.25">
      <c r="B26" s="438">
        <v>46290</v>
      </c>
      <c r="C26" s="150"/>
      <c r="D26" s="12"/>
      <c r="E26" s="150"/>
      <c r="F26" s="440"/>
    </row>
    <row r="27" spans="2:6" x14ac:dyDescent="0.25">
      <c r="B27" s="439"/>
      <c r="C27" s="151"/>
      <c r="D27" s="13"/>
      <c r="E27" s="151"/>
      <c r="F27" s="441"/>
    </row>
    <row r="28" spans="2:6" x14ac:dyDescent="0.25">
      <c r="B28" s="438">
        <v>46291</v>
      </c>
      <c r="C28" s="150"/>
      <c r="D28" s="12"/>
      <c r="E28" s="150"/>
      <c r="F28" s="440"/>
    </row>
    <row r="29" spans="2:6" x14ac:dyDescent="0.25">
      <c r="B29" s="439"/>
      <c r="C29" s="151"/>
      <c r="D29" s="13"/>
      <c r="E29" s="151"/>
      <c r="F29" s="441"/>
    </row>
    <row r="30" spans="2:6" x14ac:dyDescent="0.25">
      <c r="B30" s="438">
        <v>46292</v>
      </c>
      <c r="C30" s="150"/>
      <c r="D30" s="12"/>
      <c r="E30" s="150"/>
      <c r="F30" s="440"/>
    </row>
    <row r="31" spans="2:6" x14ac:dyDescent="0.25">
      <c r="B31" s="439"/>
      <c r="C31" s="151"/>
      <c r="D31" s="13"/>
      <c r="E31" s="151"/>
      <c r="F31" s="441"/>
    </row>
    <row r="32" spans="2:6" x14ac:dyDescent="0.25">
      <c r="B32" s="438">
        <v>46293</v>
      </c>
      <c r="C32" s="150"/>
      <c r="D32" s="12"/>
      <c r="E32" s="150"/>
      <c r="F32" s="440"/>
    </row>
    <row r="33" spans="2:6" x14ac:dyDescent="0.25">
      <c r="B33" s="439"/>
      <c r="C33" s="151"/>
      <c r="D33" s="13"/>
      <c r="E33" s="151"/>
      <c r="F33" s="441"/>
    </row>
    <row r="34" spans="2:6" x14ac:dyDescent="0.25">
      <c r="B34" s="438">
        <v>46294</v>
      </c>
      <c r="C34" s="150"/>
      <c r="D34" s="12"/>
      <c r="E34" s="150"/>
      <c r="F34" s="440"/>
    </row>
    <row r="35" spans="2:6" x14ac:dyDescent="0.25">
      <c r="B35" s="439"/>
      <c r="C35" s="151"/>
      <c r="D35" s="13"/>
      <c r="E35" s="151"/>
      <c r="F35" s="441"/>
    </row>
    <row r="36" spans="2:6" x14ac:dyDescent="0.25">
      <c r="B36" s="438">
        <v>46295</v>
      </c>
      <c r="C36" s="150"/>
      <c r="D36" s="12"/>
      <c r="E36" s="150"/>
      <c r="F36" s="440"/>
    </row>
    <row r="37" spans="2:6" x14ac:dyDescent="0.25">
      <c r="B37" s="439"/>
      <c r="C37" s="151"/>
      <c r="D37" s="13"/>
      <c r="E37" s="151"/>
      <c r="F37" s="441"/>
    </row>
  </sheetData>
  <mergeCells count="69">
    <mergeCell ref="B4:B5"/>
    <mergeCell ref="C4:C5"/>
    <mergeCell ref="E4:E5"/>
    <mergeCell ref="F4:F5"/>
    <mergeCell ref="B6:B7"/>
    <mergeCell ref="C6:C7"/>
    <mergeCell ref="F6:F7"/>
    <mergeCell ref="E6:E7"/>
    <mergeCell ref="B8:B9"/>
    <mergeCell ref="C8:C9"/>
    <mergeCell ref="F8:F9"/>
    <mergeCell ref="B10:B11"/>
    <mergeCell ref="C10:C11"/>
    <mergeCell ref="F10:F11"/>
    <mergeCell ref="E8:E9"/>
    <mergeCell ref="E10:E11"/>
    <mergeCell ref="B12:B13"/>
    <mergeCell ref="C12:C13"/>
    <mergeCell ref="F12:F13"/>
    <mergeCell ref="B14:B15"/>
    <mergeCell ref="C14:C15"/>
    <mergeCell ref="F14:F15"/>
    <mergeCell ref="E12:E13"/>
    <mergeCell ref="E14:E15"/>
    <mergeCell ref="B16:B17"/>
    <mergeCell ref="C16:C17"/>
    <mergeCell ref="F16:F17"/>
    <mergeCell ref="B18:B19"/>
    <mergeCell ref="C18:C19"/>
    <mergeCell ref="F18:F19"/>
    <mergeCell ref="E16:E17"/>
    <mergeCell ref="E18:E19"/>
    <mergeCell ref="D16:D17"/>
    <mergeCell ref="B20:B21"/>
    <mergeCell ref="C20:C21"/>
    <mergeCell ref="F20:F21"/>
    <mergeCell ref="B22:B23"/>
    <mergeCell ref="C22:C23"/>
    <mergeCell ref="F22:F23"/>
    <mergeCell ref="E20:E21"/>
    <mergeCell ref="E22:E23"/>
    <mergeCell ref="B24:B25"/>
    <mergeCell ref="C24:C25"/>
    <mergeCell ref="F24:F25"/>
    <mergeCell ref="B26:B27"/>
    <mergeCell ref="C26:C27"/>
    <mergeCell ref="F26:F27"/>
    <mergeCell ref="E24:E25"/>
    <mergeCell ref="E26:E27"/>
    <mergeCell ref="B28:B29"/>
    <mergeCell ref="C28:C29"/>
    <mergeCell ref="F28:F29"/>
    <mergeCell ref="B30:B31"/>
    <mergeCell ref="C30:C31"/>
    <mergeCell ref="F30:F31"/>
    <mergeCell ref="E28:E29"/>
    <mergeCell ref="E30:E31"/>
    <mergeCell ref="B36:B37"/>
    <mergeCell ref="C36:C37"/>
    <mergeCell ref="F36:F37"/>
    <mergeCell ref="B32:B33"/>
    <mergeCell ref="C32:C33"/>
    <mergeCell ref="F32:F33"/>
    <mergeCell ref="B34:B35"/>
    <mergeCell ref="C34:C35"/>
    <mergeCell ref="F34:F35"/>
    <mergeCell ref="E32:E33"/>
    <mergeCell ref="E34:E35"/>
    <mergeCell ref="E36:E37"/>
  </mergeCells>
  <pageMargins left="0.7" right="0.7" top="0.75" bottom="0.75" header="0.3" footer="0.3"/>
  <pageSetup paperSize="9" orientation="portrait" horizontalDpi="4294967293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51414-6250-4106-AD76-1222F81AACB7}">
  <dimension ref="D6:H41"/>
  <sheetViews>
    <sheetView rightToLeft="1" workbookViewId="0">
      <selection activeCell="E9" sqref="E9"/>
    </sheetView>
  </sheetViews>
  <sheetFormatPr defaultColWidth="11.42578125" defaultRowHeight="15" x14ac:dyDescent="0.25"/>
  <cols>
    <col min="4" max="4" width="21.140625" customWidth="1"/>
    <col min="5" max="5" width="23.42578125" bestFit="1" customWidth="1"/>
    <col min="6" max="6" width="17.28515625" customWidth="1"/>
    <col min="7" max="7" width="16.7109375" customWidth="1"/>
    <col min="8" max="8" width="15.7109375" customWidth="1"/>
  </cols>
  <sheetData>
    <row r="6" spans="4:8" ht="15" customHeight="1" x14ac:dyDescent="0.25">
      <c r="D6" s="448" t="s">
        <v>970</v>
      </c>
      <c r="E6" s="448"/>
      <c r="F6" s="448"/>
      <c r="G6" s="448"/>
      <c r="H6" s="448"/>
    </row>
    <row r="7" spans="4:8" ht="15" customHeight="1" x14ac:dyDescent="0.25">
      <c r="D7" s="448"/>
      <c r="E7" s="448"/>
      <c r="F7" s="448"/>
      <c r="G7" s="448"/>
      <c r="H7" s="448"/>
    </row>
    <row r="8" spans="4:8" ht="15.75" customHeight="1" x14ac:dyDescent="0.25">
      <c r="D8" s="449" t="s">
        <v>971</v>
      </c>
      <c r="E8" s="82" t="s">
        <v>1341</v>
      </c>
      <c r="F8" s="324" t="s">
        <v>972</v>
      </c>
      <c r="G8" s="450" t="s">
        <v>973</v>
      </c>
      <c r="H8" s="250" t="s">
        <v>974</v>
      </c>
    </row>
    <row r="9" spans="4:8" ht="21.75" customHeight="1" x14ac:dyDescent="0.25">
      <c r="D9" s="449"/>
      <c r="E9" s="6" t="s">
        <v>1342</v>
      </c>
      <c r="F9" s="324"/>
      <c r="G9" s="450"/>
      <c r="H9" s="225"/>
    </row>
    <row r="10" spans="4:8" ht="15.75" customHeight="1" x14ac:dyDescent="0.25">
      <c r="D10" s="449" t="s">
        <v>1143</v>
      </c>
      <c r="E10" s="82">
        <v>2000</v>
      </c>
      <c r="F10" s="324" t="s">
        <v>361</v>
      </c>
      <c r="G10" s="450" t="s">
        <v>1145</v>
      </c>
      <c r="H10" s="250" t="s">
        <v>1146</v>
      </c>
    </row>
    <row r="11" spans="4:8" ht="15" customHeight="1" x14ac:dyDescent="0.25">
      <c r="D11" s="449"/>
      <c r="E11" s="6" t="s">
        <v>1144</v>
      </c>
      <c r="F11" s="324"/>
      <c r="G11" s="450"/>
      <c r="H11" s="225"/>
    </row>
    <row r="12" spans="4:8" ht="15.75" customHeight="1" x14ac:dyDescent="0.25">
      <c r="D12" s="449" t="s">
        <v>602</v>
      </c>
      <c r="E12" s="82"/>
      <c r="F12" s="324"/>
      <c r="G12" s="450"/>
      <c r="H12" s="250"/>
    </row>
    <row r="13" spans="4:8" ht="15" customHeight="1" x14ac:dyDescent="0.25">
      <c r="D13" s="449"/>
      <c r="E13" s="5"/>
      <c r="F13" s="324"/>
      <c r="G13" s="450"/>
      <c r="H13" s="225"/>
    </row>
    <row r="14" spans="4:8" ht="15.75" customHeight="1" x14ac:dyDescent="0.25">
      <c r="D14" s="449"/>
      <c r="E14" s="82"/>
      <c r="F14" s="324"/>
      <c r="G14" s="450"/>
      <c r="H14" s="250"/>
    </row>
    <row r="15" spans="4:8" ht="15" customHeight="1" x14ac:dyDescent="0.25">
      <c r="D15" s="449"/>
      <c r="E15" s="5"/>
      <c r="F15" s="324"/>
      <c r="G15" s="450"/>
      <c r="H15" s="225"/>
    </row>
    <row r="16" spans="4:8" ht="15.75" customHeight="1" x14ac:dyDescent="0.25">
      <c r="D16" s="449"/>
      <c r="E16" s="82"/>
      <c r="F16" s="324"/>
      <c r="G16" s="450"/>
      <c r="H16" s="250"/>
    </row>
    <row r="17" spans="4:8" ht="15" customHeight="1" x14ac:dyDescent="0.25">
      <c r="D17" s="449"/>
      <c r="E17" s="5"/>
      <c r="F17" s="324"/>
      <c r="G17" s="450"/>
      <c r="H17" s="225"/>
    </row>
    <row r="18" spans="4:8" ht="15.75" customHeight="1" x14ac:dyDescent="0.25">
      <c r="D18" s="449"/>
      <c r="E18" s="82"/>
      <c r="F18" s="324"/>
      <c r="G18" s="450"/>
      <c r="H18" s="250"/>
    </row>
    <row r="19" spans="4:8" ht="15" customHeight="1" x14ac:dyDescent="0.25">
      <c r="D19" s="449"/>
      <c r="E19" s="5"/>
      <c r="F19" s="324"/>
      <c r="G19" s="450"/>
      <c r="H19" s="225"/>
    </row>
    <row r="20" spans="4:8" ht="15.75" customHeight="1" x14ac:dyDescent="0.25">
      <c r="D20" s="449"/>
      <c r="E20" s="82"/>
      <c r="F20" s="324"/>
      <c r="G20" s="450"/>
      <c r="H20" s="250"/>
    </row>
    <row r="21" spans="4:8" ht="15" customHeight="1" x14ac:dyDescent="0.25">
      <c r="D21" s="449"/>
      <c r="E21" s="5"/>
      <c r="F21" s="324"/>
      <c r="G21" s="450"/>
      <c r="H21" s="225"/>
    </row>
    <row r="22" spans="4:8" ht="15.75" customHeight="1" x14ac:dyDescent="0.25">
      <c r="D22" s="449"/>
      <c r="E22" s="82"/>
      <c r="F22" s="324"/>
      <c r="G22" s="450"/>
      <c r="H22" s="250"/>
    </row>
    <row r="23" spans="4:8" x14ac:dyDescent="0.25">
      <c r="D23" s="449"/>
      <c r="E23" s="5"/>
      <c r="F23" s="324"/>
      <c r="G23" s="450"/>
      <c r="H23" s="225"/>
    </row>
    <row r="24" spans="4:8" ht="15.75" x14ac:dyDescent="0.25">
      <c r="D24" s="449"/>
      <c r="E24" s="82"/>
      <c r="F24" s="324"/>
      <c r="G24" s="450"/>
      <c r="H24" s="250"/>
    </row>
    <row r="25" spans="4:8" x14ac:dyDescent="0.25">
      <c r="D25" s="449"/>
      <c r="E25" s="5"/>
      <c r="F25" s="324"/>
      <c r="G25" s="450"/>
      <c r="H25" s="225"/>
    </row>
    <row r="26" spans="4:8" ht="15.75" x14ac:dyDescent="0.25">
      <c r="D26" s="449"/>
      <c r="E26" s="82"/>
      <c r="F26" s="324"/>
      <c r="G26" s="450"/>
      <c r="H26" s="450"/>
    </row>
    <row r="27" spans="4:8" x14ac:dyDescent="0.25">
      <c r="D27" s="449"/>
      <c r="E27" s="5"/>
      <c r="F27" s="324"/>
      <c r="G27" s="450"/>
      <c r="H27" s="450"/>
    </row>
    <row r="28" spans="4:8" ht="15.75" x14ac:dyDescent="0.25">
      <c r="D28" s="449"/>
      <c r="E28" s="82"/>
      <c r="F28" s="324"/>
      <c r="G28" s="450"/>
      <c r="H28" s="450"/>
    </row>
    <row r="29" spans="4:8" x14ac:dyDescent="0.25">
      <c r="D29" s="449"/>
      <c r="E29" s="5"/>
      <c r="F29" s="324"/>
      <c r="G29" s="450"/>
      <c r="H29" s="450"/>
    </row>
    <row r="30" spans="4:8" ht="15.75" x14ac:dyDescent="0.25">
      <c r="D30" s="449"/>
      <c r="E30" s="82"/>
      <c r="F30" s="324"/>
      <c r="G30" s="450"/>
      <c r="H30" s="450"/>
    </row>
    <row r="31" spans="4:8" x14ac:dyDescent="0.25">
      <c r="D31" s="449"/>
      <c r="E31" s="5"/>
      <c r="F31" s="324"/>
      <c r="G31" s="450"/>
      <c r="H31" s="450"/>
    </row>
    <row r="32" spans="4:8" ht="15.75" x14ac:dyDescent="0.25">
      <c r="D32" s="449"/>
      <c r="E32" s="82"/>
      <c r="F32" s="324"/>
      <c r="G32" s="450"/>
      <c r="H32" s="450"/>
    </row>
    <row r="33" spans="4:8" x14ac:dyDescent="0.25">
      <c r="D33" s="449"/>
      <c r="E33" s="5"/>
      <c r="F33" s="324"/>
      <c r="G33" s="450"/>
      <c r="H33" s="450"/>
    </row>
    <row r="34" spans="4:8" ht="15.75" x14ac:dyDescent="0.25">
      <c r="D34" s="449"/>
      <c r="E34" s="82"/>
      <c r="F34" s="324"/>
      <c r="G34" s="450"/>
      <c r="H34" s="450"/>
    </row>
    <row r="35" spans="4:8" x14ac:dyDescent="0.25">
      <c r="D35" s="449"/>
      <c r="E35" s="5"/>
      <c r="F35" s="324"/>
      <c r="G35" s="450"/>
      <c r="H35" s="450"/>
    </row>
    <row r="36" spans="4:8" ht="15.75" x14ac:dyDescent="0.25">
      <c r="D36" s="449"/>
      <c r="E36" s="82"/>
      <c r="F36" s="324"/>
      <c r="G36" s="450"/>
      <c r="H36" s="450"/>
    </row>
    <row r="37" spans="4:8" x14ac:dyDescent="0.25">
      <c r="D37" s="449"/>
      <c r="E37" s="5"/>
      <c r="F37" s="324"/>
      <c r="G37" s="450"/>
      <c r="H37" s="450"/>
    </row>
    <row r="38" spans="4:8" ht="15.75" x14ac:dyDescent="0.25">
      <c r="D38" s="449"/>
      <c r="E38" s="82"/>
      <c r="F38" s="451"/>
      <c r="G38" s="450"/>
      <c r="H38" s="450"/>
    </row>
    <row r="39" spans="4:8" x14ac:dyDescent="0.25">
      <c r="D39" s="449"/>
      <c r="E39" s="5"/>
      <c r="F39" s="451"/>
      <c r="G39" s="450"/>
      <c r="H39" s="450"/>
    </row>
    <row r="40" spans="4:8" ht="15.75" x14ac:dyDescent="0.25">
      <c r="D40" s="449"/>
      <c r="E40" s="82"/>
      <c r="F40" s="324"/>
      <c r="G40" s="450"/>
      <c r="H40" s="450"/>
    </row>
    <row r="41" spans="4:8" x14ac:dyDescent="0.25">
      <c r="D41" s="449"/>
      <c r="E41" s="5"/>
      <c r="F41" s="324"/>
      <c r="G41" s="450"/>
      <c r="H41" s="450"/>
    </row>
  </sheetData>
  <mergeCells count="69">
    <mergeCell ref="D38:D39"/>
    <mergeCell ref="F38:F39"/>
    <mergeCell ref="G38:G39"/>
    <mergeCell ref="H38:H39"/>
    <mergeCell ref="D40:D41"/>
    <mergeCell ref="F40:F41"/>
    <mergeCell ref="G40:G41"/>
    <mergeCell ref="H40:H41"/>
    <mergeCell ref="D34:D35"/>
    <mergeCell ref="F34:F35"/>
    <mergeCell ref="G34:G35"/>
    <mergeCell ref="H34:H35"/>
    <mergeCell ref="D36:D37"/>
    <mergeCell ref="F36:F37"/>
    <mergeCell ref="G36:G37"/>
    <mergeCell ref="H36:H37"/>
    <mergeCell ref="D30:D31"/>
    <mergeCell ref="F30:F31"/>
    <mergeCell ref="G30:G31"/>
    <mergeCell ref="H30:H31"/>
    <mergeCell ref="D32:D33"/>
    <mergeCell ref="F32:F33"/>
    <mergeCell ref="G32:G33"/>
    <mergeCell ref="H32:H33"/>
    <mergeCell ref="D26:D27"/>
    <mergeCell ref="F26:F27"/>
    <mergeCell ref="G26:G27"/>
    <mergeCell ref="H26:H27"/>
    <mergeCell ref="D28:D29"/>
    <mergeCell ref="F28:F29"/>
    <mergeCell ref="G28:G29"/>
    <mergeCell ref="H28:H29"/>
    <mergeCell ref="D22:D23"/>
    <mergeCell ref="F22:F23"/>
    <mergeCell ref="G22:G23"/>
    <mergeCell ref="H22:H23"/>
    <mergeCell ref="D24:D25"/>
    <mergeCell ref="F24:F25"/>
    <mergeCell ref="G24:G25"/>
    <mergeCell ref="H24:H25"/>
    <mergeCell ref="D18:D19"/>
    <mergeCell ref="F18:F19"/>
    <mergeCell ref="G18:G19"/>
    <mergeCell ref="H18:H19"/>
    <mergeCell ref="D20:D21"/>
    <mergeCell ref="F20:F21"/>
    <mergeCell ref="G20:G21"/>
    <mergeCell ref="H20:H21"/>
    <mergeCell ref="D14:D15"/>
    <mergeCell ref="F14:F15"/>
    <mergeCell ref="G14:G15"/>
    <mergeCell ref="H14:H15"/>
    <mergeCell ref="D16:D17"/>
    <mergeCell ref="F16:F17"/>
    <mergeCell ref="G16:G17"/>
    <mergeCell ref="H16:H17"/>
    <mergeCell ref="F10:F11"/>
    <mergeCell ref="G10:G11"/>
    <mergeCell ref="H10:H11"/>
    <mergeCell ref="D12:D13"/>
    <mergeCell ref="F12:F13"/>
    <mergeCell ref="G12:G13"/>
    <mergeCell ref="H12:H13"/>
    <mergeCell ref="D10:D11"/>
    <mergeCell ref="D6:H7"/>
    <mergeCell ref="D8:D9"/>
    <mergeCell ref="F8:F9"/>
    <mergeCell ref="G8:G9"/>
    <mergeCell ref="H8:H9"/>
  </mergeCell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n°bon</vt:lpstr>
      <vt:lpstr>2AS+AG</vt:lpstr>
      <vt:lpstr>bac</vt:lpstr>
      <vt:lpstr>4am</vt:lpstr>
      <vt:lpstr>3AM</vt:lpstr>
      <vt:lpstr>2AM</vt:lpstr>
      <vt:lpstr>1AM</vt:lpstr>
      <vt:lpstr>5ap</vt:lpstr>
      <vt:lpstr>3AP</vt:lpstr>
      <vt:lpstr>دورات 4و5ابتدائي</vt:lpstr>
      <vt:lpstr>4ap</vt:lpstr>
      <vt:lpstr>FORMATION SEP </vt:lpstr>
      <vt:lpstr>project engl</vt:lpstr>
      <vt:lpstr>ecole </vt:lpstr>
      <vt:lpstr>Feuil1</vt:lpstr>
      <vt:lpstr>amphi</vt:lpstr>
      <vt:lpstr>R7</vt:lpstr>
      <vt:lpstr>one to one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WASSIM EZAIIM</cp:lastModifiedBy>
  <cp:lastPrinted>2026-09-24T15:06:59Z</cp:lastPrinted>
  <dcterms:created xsi:type="dcterms:W3CDTF">2015-06-05T18:19:34Z</dcterms:created>
  <dcterms:modified xsi:type="dcterms:W3CDTF">2026-10-07T08:56:32Z</dcterms:modified>
</cp:coreProperties>
</file>